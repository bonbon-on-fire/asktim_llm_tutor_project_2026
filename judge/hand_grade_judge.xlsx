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humanities_llm_tutor_project_2026\judge\"/>
    </mc:Choice>
  </mc:AlternateContent>
  <xr:revisionPtr revIDLastSave="0" documentId="13_ncr:1_{BE6734F7-69C7-4187-BB54-F6A3CDA6F9E2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compiled grading" sheetId="1" r:id="rId1"/>
    <sheet name="faizan grading" sheetId="2" r:id="rId2"/>
    <sheet name="romain grading" sheetId="3" r:id="rId3"/>
    <sheet name="nishita grad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4" l="1"/>
  <c r="R7" i="4"/>
  <c r="S6" i="4"/>
  <c r="R6" i="4"/>
  <c r="S5" i="4"/>
  <c r="R5" i="4"/>
  <c r="S4" i="4"/>
  <c r="R4" i="4"/>
  <c r="S3" i="4"/>
  <c r="R3" i="4"/>
  <c r="S2" i="4"/>
  <c r="R2" i="4"/>
  <c r="S7" i="3"/>
  <c r="R7" i="3"/>
  <c r="S6" i="3"/>
  <c r="R6" i="3"/>
  <c r="S5" i="3"/>
  <c r="R5" i="3"/>
  <c r="S4" i="3"/>
  <c r="R4" i="3"/>
  <c r="S3" i="3"/>
  <c r="R3" i="3"/>
  <c r="S2" i="3"/>
  <c r="R2" i="3"/>
  <c r="S7" i="2"/>
  <c r="R7" i="2"/>
  <c r="S6" i="2"/>
  <c r="R6" i="2"/>
  <c r="S5" i="2"/>
  <c r="R5" i="2"/>
  <c r="S4" i="2"/>
  <c r="R4" i="2"/>
  <c r="S3" i="2"/>
  <c r="R3" i="2"/>
  <c r="S2" i="2"/>
  <c r="R2" i="2"/>
  <c r="R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R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R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R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R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R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R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R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R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R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R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R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R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R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R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R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R9" i="1"/>
  <c r="P9" i="1"/>
  <c r="O9" i="1"/>
  <c r="N9" i="1"/>
  <c r="M9" i="1"/>
  <c r="L9" i="1"/>
  <c r="K9" i="1"/>
  <c r="J9" i="1"/>
  <c r="I9" i="1"/>
  <c r="H9" i="1"/>
  <c r="G9" i="1"/>
  <c r="F9" i="1"/>
  <c r="E9" i="1"/>
  <c r="D9" i="1"/>
  <c r="R8" i="1"/>
  <c r="P8" i="1"/>
  <c r="O8" i="1"/>
  <c r="N8" i="1"/>
  <c r="M8" i="1"/>
  <c r="L8" i="1"/>
  <c r="K8" i="1"/>
  <c r="J8" i="1"/>
  <c r="I8" i="1"/>
  <c r="H8" i="1"/>
  <c r="G8" i="1"/>
  <c r="F8" i="1"/>
  <c r="E8" i="1"/>
  <c r="D8" i="1"/>
  <c r="R7" i="1"/>
  <c r="P7" i="1"/>
  <c r="O7" i="1"/>
  <c r="N7" i="1"/>
  <c r="M7" i="1"/>
  <c r="L7" i="1"/>
  <c r="K7" i="1"/>
  <c r="J7" i="1"/>
  <c r="I7" i="1"/>
  <c r="H7" i="1"/>
  <c r="G7" i="1"/>
  <c r="F7" i="1"/>
  <c r="E7" i="1"/>
  <c r="D7" i="1"/>
  <c r="R6" i="1"/>
  <c r="P6" i="1"/>
  <c r="O6" i="1"/>
  <c r="N6" i="1"/>
  <c r="M6" i="1"/>
  <c r="L6" i="1"/>
  <c r="K6" i="1"/>
  <c r="J6" i="1"/>
  <c r="I6" i="1"/>
  <c r="H6" i="1"/>
  <c r="G6" i="1"/>
  <c r="F6" i="1"/>
  <c r="E6" i="1"/>
  <c r="D6" i="1"/>
  <c r="R5" i="1"/>
  <c r="P5" i="1"/>
  <c r="O5" i="1"/>
  <c r="N5" i="1"/>
  <c r="M5" i="1"/>
  <c r="L5" i="1"/>
  <c r="K5" i="1"/>
  <c r="J5" i="1"/>
  <c r="I5" i="1"/>
  <c r="H5" i="1"/>
  <c r="G5" i="1"/>
  <c r="F5" i="1"/>
  <c r="E5" i="1"/>
  <c r="D5" i="1"/>
  <c r="R4" i="1"/>
  <c r="P4" i="1"/>
  <c r="O4" i="1"/>
  <c r="N4" i="1"/>
  <c r="M4" i="1"/>
  <c r="L4" i="1"/>
  <c r="K4" i="1"/>
  <c r="J4" i="1"/>
  <c r="I4" i="1"/>
  <c r="H4" i="1"/>
  <c r="G4" i="1"/>
  <c r="F4" i="1"/>
  <c r="E4" i="1"/>
  <c r="D4" i="1"/>
  <c r="R3" i="1"/>
  <c r="P3" i="1"/>
  <c r="O3" i="1"/>
  <c r="N3" i="1"/>
  <c r="M3" i="1"/>
  <c r="L3" i="1"/>
  <c r="K3" i="1"/>
  <c r="J3" i="1"/>
  <c r="I3" i="1"/>
  <c r="H3" i="1"/>
  <c r="G3" i="1"/>
  <c r="F3" i="1"/>
  <c r="E3" i="1"/>
  <c r="D3" i="1"/>
  <c r="R2" i="1"/>
  <c r="P2" i="1"/>
  <c r="O2" i="1"/>
  <c r="N2" i="1"/>
  <c r="M2" i="1"/>
  <c r="L2" i="1"/>
  <c r="K2" i="1"/>
  <c r="J2" i="1"/>
  <c r="I2" i="1"/>
  <c r="H2" i="1"/>
  <c r="G2" i="1"/>
  <c r="F2" i="1"/>
  <c r="E2" i="1"/>
  <c r="D2" i="1"/>
  <c r="Q14" i="1" l="1"/>
  <c r="Q2" i="1"/>
  <c r="Q8" i="1"/>
  <c r="Q20" i="1"/>
  <c r="Q3" i="1"/>
  <c r="Q9" i="1"/>
  <c r="Q21" i="1"/>
  <c r="Q4" i="1"/>
  <c r="Q16" i="1"/>
  <c r="Q22" i="1"/>
  <c r="Q10" i="1"/>
  <c r="Q23" i="1"/>
  <c r="Q5" i="1"/>
  <c r="Q12" i="1"/>
  <c r="Q24" i="1"/>
  <c r="Q6" i="1"/>
  <c r="Q7" i="1"/>
  <c r="Q19" i="1"/>
  <c r="Q25" i="1"/>
  <c r="Q15" i="1"/>
  <c r="Q11" i="1"/>
  <c r="Q17" i="1"/>
  <c r="Q13" i="1"/>
  <c r="Q18" i="1"/>
</calcChain>
</file>

<file path=xl/sharedStrings.xml><?xml version="1.0" encoding="utf-8"?>
<sst xmlns="http://schemas.openxmlformats.org/spreadsheetml/2006/main" count="219" uniqueCount="34">
  <si>
    <t>persona type</t>
  </si>
  <si>
    <t>transcript number</t>
  </si>
  <si>
    <t>grader name</t>
  </si>
  <si>
    <t>1.1.A</t>
  </si>
  <si>
    <t>1.1.B</t>
  </si>
  <si>
    <t>1.1.C</t>
  </si>
  <si>
    <t>1.2.A</t>
  </si>
  <si>
    <t>1.2.B</t>
  </si>
  <si>
    <t>1.3.A</t>
  </si>
  <si>
    <t>1.3.B</t>
  </si>
  <si>
    <t>2.1.A</t>
  </si>
  <si>
    <t>2.2.A</t>
  </si>
  <si>
    <t>2.2.B</t>
  </si>
  <si>
    <t>3.1.A</t>
  </si>
  <si>
    <t>3.2.A</t>
  </si>
  <si>
    <t>3.2.B</t>
  </si>
  <si>
    <t>total score</t>
  </si>
  <si>
    <t>_key</t>
  </si>
  <si>
    <t>chaotic</t>
  </si>
  <si>
    <t>0001</t>
  </si>
  <si>
    <t>faizan</t>
  </si>
  <si>
    <t>romain</t>
  </si>
  <si>
    <t>nishita</t>
  </si>
  <si>
    <t>claude</t>
  </si>
  <si>
    <t>0002</t>
  </si>
  <si>
    <t>clueless</t>
  </si>
  <si>
    <t>cooperative</t>
  </si>
  <si>
    <t>transcript</t>
  </si>
  <si>
    <t>transcripts/chaotic/chaotic_raw/transcript_0001.json</t>
  </si>
  <si>
    <t>transcripts/chaotic/chaotic_raw/transcript_0002.json</t>
  </si>
  <si>
    <t>transcripts/clueless/clueless_raw/transcript_0001.json</t>
  </si>
  <si>
    <t>transcripts/clueless/clueless_raw/transcript_0002.json</t>
  </si>
  <si>
    <t>transcripts/cooperative/cooperative_raw/transcript_0001.json</t>
  </si>
  <si>
    <t>transcripts/cooperative/cooperative_raw/transcript_0002.json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</si>
</sst>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pane ySplit="1" topLeftCell="A2" activePane="bottomLeft" state="frozen"/>
      <selection pane="bottomLeft" activeCell="J30" sqref="J30"/>
    </sheetView>
  </sheetViews>
  <sheetFormatPr defaultRowHeight="14.6" x14ac:dyDescent="0.4"/>
  <cols>
    <col min="1" max="1" width="14" customWidth="1"/>
    <col min="2" max="2" width="18" customWidth="1"/>
    <col min="3" max="3" width="14" customWidth="1"/>
    <col min="4" max="16" width="8" customWidth="1"/>
    <col min="17" max="17" width="12" customWidth="1"/>
    <col min="18" max="18" width="13" hidden="1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</row>
    <row r="2" spans="1:18" x14ac:dyDescent="0.4">
      <c r="A2" t="s">
        <v>18</v>
      </c>
      <c r="B2" t="s">
        <v>19</v>
      </c>
      <c r="C2" t="s">
        <v>20</v>
      </c>
      <c r="D2">
        <f>IF($C2="faizan",IFERROR(INDEX('faizan grading'!$E:$Q,MATCH($A2&amp;"|"&amp;$B2,'faizan grading'!$S:$S,0),COLUMN()-3),""),IF($C2="romain",IFERROR(INDEX('romain grading'!$E:$Q,MATCH($A2&amp;"|"&amp;$B2,'romain grading'!$S:$S,0),COLUMN()-3),""),IF($C2="nishita",IFERROR(INDEX('nishita grading'!$E:$Q,MATCH($A2&amp;"|"&amp;$B2,'nishita grading'!$S:$S,0),COLUMN()-3),""),"")))</f>
        <v>0</v>
      </c>
      <c r="E2">
        <f>IF($C2="faizan",IFERROR(INDEX('faizan grading'!$E:$Q,MATCH($A2&amp;"|"&amp;$B2,'faizan grading'!$S:$S,0),COLUMN()-3),""),IF($C2="romain",IFERROR(INDEX('romain grading'!$E:$Q,MATCH($A2&amp;"|"&amp;$B2,'romain grading'!$S:$S,0),COLUMN()-3),""),IF($C2="nishita",IFERROR(INDEX('nishita grading'!$E:$Q,MATCH($A2&amp;"|"&amp;$B2,'nishita grading'!$S:$S,0),COLUMN()-3),""),"")))</f>
        <v>0</v>
      </c>
      <c r="F2">
        <f>IF($C2="faizan",IFERROR(INDEX('faizan grading'!$E:$Q,MATCH($A2&amp;"|"&amp;$B2,'faizan grading'!$S:$S,0),COLUMN()-3),""),IF($C2="romain",IFERROR(INDEX('romain grading'!$E:$Q,MATCH($A2&amp;"|"&amp;$B2,'romain grading'!$S:$S,0),COLUMN()-3),""),IF($C2="nishita",IFERROR(INDEX('nishita grading'!$E:$Q,MATCH($A2&amp;"|"&amp;$B2,'nishita grading'!$S:$S,0),COLUMN()-3),""),"")))</f>
        <v>0</v>
      </c>
      <c r="G2">
        <f>IF($C2="faizan",IFERROR(INDEX('faizan grading'!$E:$Q,MATCH($A2&amp;"|"&amp;$B2,'faizan grading'!$S:$S,0),COLUMN()-3),""),IF($C2="romain",IFERROR(INDEX('romain grading'!$E:$Q,MATCH($A2&amp;"|"&amp;$B2,'romain grading'!$S:$S,0),COLUMN()-3),""),IF($C2="nishita",IFERROR(INDEX('nishita grading'!$E:$Q,MATCH($A2&amp;"|"&amp;$B2,'nishita grading'!$S:$S,0),COLUMN()-3),""),"")))</f>
        <v>0</v>
      </c>
      <c r="H2">
        <f>IF($C2="faizan",IFERROR(INDEX('faizan grading'!$E:$Q,MATCH($A2&amp;"|"&amp;$B2,'faizan grading'!$S:$S,0),COLUMN()-3),""),IF($C2="romain",IFERROR(INDEX('romain grading'!$E:$Q,MATCH($A2&amp;"|"&amp;$B2,'romain grading'!$S:$S,0),COLUMN()-3),""),IF($C2="nishita",IFERROR(INDEX('nishita grading'!$E:$Q,MATCH($A2&amp;"|"&amp;$B2,'nishita grading'!$S:$S,0),COLUMN()-3),""),"")))</f>
        <v>0</v>
      </c>
      <c r="I2">
        <f>IF($C2="faizan",IFERROR(INDEX('faizan grading'!$E:$Q,MATCH($A2&amp;"|"&amp;$B2,'faizan grading'!$S:$S,0),COLUMN()-3),""),IF($C2="romain",IFERROR(INDEX('romain grading'!$E:$Q,MATCH($A2&amp;"|"&amp;$B2,'romain grading'!$S:$S,0),COLUMN()-3),""),IF($C2="nishita",IFERROR(INDEX('nishita grading'!$E:$Q,MATCH($A2&amp;"|"&amp;$B2,'nishita grading'!$S:$S,0),COLUMN()-3),""),"")))</f>
        <v>0</v>
      </c>
      <c r="J2">
        <f>IF($C2="faizan",IFERROR(INDEX('faizan grading'!$E:$Q,MATCH($A2&amp;"|"&amp;$B2,'faizan grading'!$S:$S,0),COLUMN()-3),""),IF($C2="romain",IFERROR(INDEX('romain grading'!$E:$Q,MATCH($A2&amp;"|"&amp;$B2,'romain grading'!$S:$S,0),COLUMN()-3),""),IF($C2="nishita",IFERROR(INDEX('nishita grading'!$E:$Q,MATCH($A2&amp;"|"&amp;$B2,'nishita grading'!$S:$S,0),COLUMN()-3),""),"")))</f>
        <v>0</v>
      </c>
      <c r="K2">
        <f>IF($C2="faizan",IFERROR(INDEX('faizan grading'!$E:$Q,MATCH($A2&amp;"|"&amp;$B2,'faizan grading'!$S:$S,0),COLUMN()-3),""),IF($C2="romain",IFERROR(INDEX('romain grading'!$E:$Q,MATCH($A2&amp;"|"&amp;$B2,'romain grading'!$S:$S,0),COLUMN()-3),""),IF($C2="nishita",IFERROR(INDEX('nishita grading'!$E:$Q,MATCH($A2&amp;"|"&amp;$B2,'nishita grading'!$S:$S,0),COLUMN()-3),""),"")))</f>
        <v>0</v>
      </c>
      <c r="L2">
        <f>IF($C2="faizan",IFERROR(INDEX('faizan grading'!$E:$Q,MATCH($A2&amp;"|"&amp;$B2,'faizan grading'!$S:$S,0),COLUMN()-3),""),IF($C2="romain",IFERROR(INDEX('romain grading'!$E:$Q,MATCH($A2&amp;"|"&amp;$B2,'romain grading'!$S:$S,0),COLUMN()-3),""),IF($C2="nishita",IFERROR(INDEX('nishita grading'!$E:$Q,MATCH($A2&amp;"|"&amp;$B2,'nishita grading'!$S:$S,0),COLUMN()-3),""),"")))</f>
        <v>0</v>
      </c>
      <c r="M2">
        <f>IF($C2="faizan",IFERROR(INDEX('faizan grading'!$E:$Q,MATCH($A2&amp;"|"&amp;$B2,'faizan grading'!$S:$S,0),COLUMN()-3),""),IF($C2="romain",IFERROR(INDEX('romain grading'!$E:$Q,MATCH($A2&amp;"|"&amp;$B2,'romain grading'!$S:$S,0),COLUMN()-3),""),IF($C2="nishita",IFERROR(INDEX('nishita grading'!$E:$Q,MATCH($A2&amp;"|"&amp;$B2,'nishita grading'!$S:$S,0),COLUMN()-3),""),"")))</f>
        <v>0</v>
      </c>
      <c r="N2">
        <f>IF($C2="faizan",IFERROR(INDEX('faizan grading'!$E:$Q,MATCH($A2&amp;"|"&amp;$B2,'faizan grading'!$S:$S,0),COLUMN()-3),""),IF($C2="romain",IFERROR(INDEX('romain grading'!$E:$Q,MATCH($A2&amp;"|"&amp;$B2,'romain grading'!$S:$S,0),COLUMN()-3),""),IF($C2="nishita",IFERROR(INDEX('nishita grading'!$E:$Q,MATCH($A2&amp;"|"&amp;$B2,'nishita grading'!$S:$S,0),COLUMN()-3),""),"")))</f>
        <v>0</v>
      </c>
      <c r="O2">
        <f>IF($C2="faizan",IFERROR(INDEX('faizan grading'!$E:$Q,MATCH($A2&amp;"|"&amp;$B2,'faizan grading'!$S:$S,0),COLUMN()-3),""),IF($C2="romain",IFERROR(INDEX('romain grading'!$E:$Q,MATCH($A2&amp;"|"&amp;$B2,'romain grading'!$S:$S,0),COLUMN()-3),""),IF($C2="nishita",IFERROR(INDEX('nishita grading'!$E:$Q,MATCH($A2&amp;"|"&amp;$B2,'nishita grading'!$S:$S,0),COLUMN()-3),""),"")))</f>
        <v>0</v>
      </c>
      <c r="P2">
        <f>IF($C2="faizan",IFERROR(INDEX('faizan grading'!$E:$Q,MATCH($A2&amp;"|"&amp;$B2,'faizan grading'!$S:$S,0),COLUMN()-3),""),IF($C2="romain",IFERROR(INDEX('romain grading'!$E:$Q,MATCH($A2&amp;"|"&amp;$B2,'romain grading'!$S:$S,0),COLUMN()-3),""),IF($C2="nishita",IFERROR(INDEX('nishita grading'!$E:$Q,MATCH($A2&amp;"|"&amp;$B2,'nishita grading'!$S:$S,0),COLUMN()-3),""),"")))</f>
        <v>0</v>
      </c>
      <c r="Q2">
        <f t="shared" ref="Q2:Q25" si="0">42-SUM(D2:P2)</f>
        <v>42</v>
      </c>
      <c r="R2" t="str">
        <f t="shared" ref="R2:R25" si="1">A2&amp;"|"&amp;B2</f>
        <v>chaotic|0001</v>
      </c>
    </row>
    <row r="3" spans="1:18" x14ac:dyDescent="0.4">
      <c r="A3" t="s">
        <v>18</v>
      </c>
      <c r="B3" t="s">
        <v>19</v>
      </c>
      <c r="C3" t="s">
        <v>21</v>
      </c>
      <c r="D3">
        <f>IF($C3="faizan",IFERROR(INDEX('faizan grading'!$E:$Q,MATCH($A3&amp;"|"&amp;$B3,'faizan grading'!$S:$S,0),COLUMN()-3),""),IF($C3="romain",IFERROR(INDEX('romain grading'!$E:$Q,MATCH($A3&amp;"|"&amp;$B3,'romain grading'!$S:$S,0),COLUMN()-3),""),IF($C3="nishita",IFERROR(INDEX('nishita grading'!$E:$Q,MATCH($A3&amp;"|"&amp;$B3,'nishita grading'!$S:$S,0),COLUMN()-3),""),"")))</f>
        <v>0</v>
      </c>
      <c r="E3">
        <f>IF($C3="faizan",IFERROR(INDEX('faizan grading'!$E:$Q,MATCH($A3&amp;"|"&amp;$B3,'faizan grading'!$S:$S,0),COLUMN()-3),""),IF($C3="romain",IFERROR(INDEX('romain grading'!$E:$Q,MATCH($A3&amp;"|"&amp;$B3,'romain grading'!$S:$S,0),COLUMN()-3),""),IF($C3="nishita",IFERROR(INDEX('nishita grading'!$E:$Q,MATCH($A3&amp;"|"&amp;$B3,'nishita grading'!$S:$S,0),COLUMN()-3),""),"")))</f>
        <v>0</v>
      </c>
      <c r="F3">
        <f>IF($C3="faizan",IFERROR(INDEX('faizan grading'!$E:$Q,MATCH($A3&amp;"|"&amp;$B3,'faizan grading'!$S:$S,0),COLUMN()-3),""),IF($C3="romain",IFERROR(INDEX('romain grading'!$E:$Q,MATCH($A3&amp;"|"&amp;$B3,'romain grading'!$S:$S,0),COLUMN()-3),""),IF($C3="nishita",IFERROR(INDEX('nishita grading'!$E:$Q,MATCH($A3&amp;"|"&amp;$B3,'nishita grading'!$S:$S,0),COLUMN()-3),""),"")))</f>
        <v>0</v>
      </c>
      <c r="G3">
        <f>IF($C3="faizan",IFERROR(INDEX('faizan grading'!$E:$Q,MATCH($A3&amp;"|"&amp;$B3,'faizan grading'!$S:$S,0),COLUMN()-3),""),IF($C3="romain",IFERROR(INDEX('romain grading'!$E:$Q,MATCH($A3&amp;"|"&amp;$B3,'romain grading'!$S:$S,0),COLUMN()-3),""),IF($C3="nishita",IFERROR(INDEX('nishita grading'!$E:$Q,MATCH($A3&amp;"|"&amp;$B3,'nishita grading'!$S:$S,0),COLUMN()-3),""),"")))</f>
        <v>0</v>
      </c>
      <c r="H3">
        <f>IF($C3="faizan",IFERROR(INDEX('faizan grading'!$E:$Q,MATCH($A3&amp;"|"&amp;$B3,'faizan grading'!$S:$S,0),COLUMN()-3),""),IF($C3="romain",IFERROR(INDEX('romain grading'!$E:$Q,MATCH($A3&amp;"|"&amp;$B3,'romain grading'!$S:$S,0),COLUMN()-3),""),IF($C3="nishita",IFERROR(INDEX('nishita grading'!$E:$Q,MATCH($A3&amp;"|"&amp;$B3,'nishita grading'!$S:$S,0),COLUMN()-3),""),"")))</f>
        <v>0</v>
      </c>
      <c r="I3">
        <f>IF($C3="faizan",IFERROR(INDEX('faizan grading'!$E:$Q,MATCH($A3&amp;"|"&amp;$B3,'faizan grading'!$S:$S,0),COLUMN()-3),""),IF($C3="romain",IFERROR(INDEX('romain grading'!$E:$Q,MATCH($A3&amp;"|"&amp;$B3,'romain grading'!$S:$S,0),COLUMN()-3),""),IF($C3="nishita",IFERROR(INDEX('nishita grading'!$E:$Q,MATCH($A3&amp;"|"&amp;$B3,'nishita grading'!$S:$S,0),COLUMN()-3),""),"")))</f>
        <v>0</v>
      </c>
      <c r="J3">
        <f>IF($C3="faizan",IFERROR(INDEX('faizan grading'!$E:$Q,MATCH($A3&amp;"|"&amp;$B3,'faizan grading'!$S:$S,0),COLUMN()-3),""),IF($C3="romain",IFERROR(INDEX('romain grading'!$E:$Q,MATCH($A3&amp;"|"&amp;$B3,'romain grading'!$S:$S,0),COLUMN()-3),""),IF($C3="nishita",IFERROR(INDEX('nishita grading'!$E:$Q,MATCH($A3&amp;"|"&amp;$B3,'nishita grading'!$S:$S,0),COLUMN()-3),""),"")))</f>
        <v>0</v>
      </c>
      <c r="K3">
        <f>IF($C3="faizan",IFERROR(INDEX('faizan grading'!$E:$Q,MATCH($A3&amp;"|"&amp;$B3,'faizan grading'!$S:$S,0),COLUMN()-3),""),IF($C3="romain",IFERROR(INDEX('romain grading'!$E:$Q,MATCH($A3&amp;"|"&amp;$B3,'romain grading'!$S:$S,0),COLUMN()-3),""),IF($C3="nishita",IFERROR(INDEX('nishita grading'!$E:$Q,MATCH($A3&amp;"|"&amp;$B3,'nishita grading'!$S:$S,0),COLUMN()-3),""),"")))</f>
        <v>0</v>
      </c>
      <c r="L3">
        <f>IF($C3="faizan",IFERROR(INDEX('faizan grading'!$E:$Q,MATCH($A3&amp;"|"&amp;$B3,'faizan grading'!$S:$S,0),COLUMN()-3),""),IF($C3="romain",IFERROR(INDEX('romain grading'!$E:$Q,MATCH($A3&amp;"|"&amp;$B3,'romain grading'!$S:$S,0),COLUMN()-3),""),IF($C3="nishita",IFERROR(INDEX('nishita grading'!$E:$Q,MATCH($A3&amp;"|"&amp;$B3,'nishita grading'!$S:$S,0),COLUMN()-3),""),"")))</f>
        <v>0</v>
      </c>
      <c r="M3">
        <f>IF($C3="faizan",IFERROR(INDEX('faizan grading'!$E:$Q,MATCH($A3&amp;"|"&amp;$B3,'faizan grading'!$S:$S,0),COLUMN()-3),""),IF($C3="romain",IFERROR(INDEX('romain grading'!$E:$Q,MATCH($A3&amp;"|"&amp;$B3,'romain grading'!$S:$S,0),COLUMN()-3),""),IF($C3="nishita",IFERROR(INDEX('nishita grading'!$E:$Q,MATCH($A3&amp;"|"&amp;$B3,'nishita grading'!$S:$S,0),COLUMN()-3),""),"")))</f>
        <v>0</v>
      </c>
      <c r="N3">
        <f>IF($C3="faizan",IFERROR(INDEX('faizan grading'!$E:$Q,MATCH($A3&amp;"|"&amp;$B3,'faizan grading'!$S:$S,0),COLUMN()-3),""),IF($C3="romain",IFERROR(INDEX('romain grading'!$E:$Q,MATCH($A3&amp;"|"&amp;$B3,'romain grading'!$S:$S,0),COLUMN()-3),""),IF($C3="nishita",IFERROR(INDEX('nishita grading'!$E:$Q,MATCH($A3&amp;"|"&amp;$B3,'nishita grading'!$S:$S,0),COLUMN()-3),""),"")))</f>
        <v>0</v>
      </c>
      <c r="O3">
        <f>IF($C3="faizan",IFERROR(INDEX('faizan grading'!$E:$Q,MATCH($A3&amp;"|"&amp;$B3,'faizan grading'!$S:$S,0),COLUMN()-3),""),IF($C3="romain",IFERROR(INDEX('romain grading'!$E:$Q,MATCH($A3&amp;"|"&amp;$B3,'romain grading'!$S:$S,0),COLUMN()-3),""),IF($C3="nishita",IFERROR(INDEX('nishita grading'!$E:$Q,MATCH($A3&amp;"|"&amp;$B3,'nishita grading'!$S:$S,0),COLUMN()-3),""),"")))</f>
        <v>0</v>
      </c>
      <c r="P3">
        <f>IF($C3="faizan",IFERROR(INDEX('faizan grading'!$E:$Q,MATCH($A3&amp;"|"&amp;$B3,'faizan grading'!$S:$S,0),COLUMN()-3),""),IF($C3="romain",IFERROR(INDEX('romain grading'!$E:$Q,MATCH($A3&amp;"|"&amp;$B3,'romain grading'!$S:$S,0),COLUMN()-3),""),IF($C3="nishita",IFERROR(INDEX('nishita grading'!$E:$Q,MATCH($A3&amp;"|"&amp;$B3,'nishita grading'!$S:$S,0),COLUMN()-3),""),"")))</f>
        <v>0</v>
      </c>
      <c r="Q3">
        <f t="shared" si="0"/>
        <v>42</v>
      </c>
      <c r="R3" t="str">
        <f t="shared" si="1"/>
        <v>chaotic|0001</v>
      </c>
    </row>
    <row r="4" spans="1:18" x14ac:dyDescent="0.4">
      <c r="A4" t="s">
        <v>18</v>
      </c>
      <c r="B4" t="s">
        <v>19</v>
      </c>
      <c r="C4" t="s">
        <v>22</v>
      </c>
      <c r="D4">
        <f>IF($C4="faizan",IFERROR(INDEX('faizan grading'!$E:$Q,MATCH($A4&amp;"|"&amp;$B4,'faizan grading'!$S:$S,0),COLUMN()-3),""),IF($C4="romain",IFERROR(INDEX('romain grading'!$E:$Q,MATCH($A4&amp;"|"&amp;$B4,'romain grading'!$S:$S,0),COLUMN()-3),""),IF($C4="nishita",IFERROR(INDEX('nishita grading'!$E:$Q,MATCH($A4&amp;"|"&amp;$B4,'nishita grading'!$S:$S,0),COLUMN()-3),""),"")))</f>
        <v>0</v>
      </c>
      <c r="E4">
        <f>IF($C4="faizan",IFERROR(INDEX('faizan grading'!$E:$Q,MATCH($A4&amp;"|"&amp;$B4,'faizan grading'!$S:$S,0),COLUMN()-3),""),IF($C4="romain",IFERROR(INDEX('romain grading'!$E:$Q,MATCH($A4&amp;"|"&amp;$B4,'romain grading'!$S:$S,0),COLUMN()-3),""),IF($C4="nishita",IFERROR(INDEX('nishita grading'!$E:$Q,MATCH($A4&amp;"|"&amp;$B4,'nishita grading'!$S:$S,0),COLUMN()-3),""),"")))</f>
        <v>0</v>
      </c>
      <c r="F4">
        <f>IF($C4="faizan",IFERROR(INDEX('faizan grading'!$E:$Q,MATCH($A4&amp;"|"&amp;$B4,'faizan grading'!$S:$S,0),COLUMN()-3),""),IF($C4="romain",IFERROR(INDEX('romain grading'!$E:$Q,MATCH($A4&amp;"|"&amp;$B4,'romain grading'!$S:$S,0),COLUMN()-3),""),IF($C4="nishita",IFERROR(INDEX('nishita grading'!$E:$Q,MATCH($A4&amp;"|"&amp;$B4,'nishita grading'!$S:$S,0),COLUMN()-3),""),"")))</f>
        <v>0</v>
      </c>
      <c r="G4">
        <f>IF($C4="faizan",IFERROR(INDEX('faizan grading'!$E:$Q,MATCH($A4&amp;"|"&amp;$B4,'faizan grading'!$S:$S,0),COLUMN()-3),""),IF($C4="romain",IFERROR(INDEX('romain grading'!$E:$Q,MATCH($A4&amp;"|"&amp;$B4,'romain grading'!$S:$S,0),COLUMN()-3),""),IF($C4="nishita",IFERROR(INDEX('nishita grading'!$E:$Q,MATCH($A4&amp;"|"&amp;$B4,'nishita grading'!$S:$S,0),COLUMN()-3),""),"")))</f>
        <v>0</v>
      </c>
      <c r="H4">
        <f>IF($C4="faizan",IFERROR(INDEX('faizan grading'!$E:$Q,MATCH($A4&amp;"|"&amp;$B4,'faizan grading'!$S:$S,0),COLUMN()-3),""),IF($C4="romain",IFERROR(INDEX('romain grading'!$E:$Q,MATCH($A4&amp;"|"&amp;$B4,'romain grading'!$S:$S,0),COLUMN()-3),""),IF($C4="nishita",IFERROR(INDEX('nishita grading'!$E:$Q,MATCH($A4&amp;"|"&amp;$B4,'nishita grading'!$S:$S,0),COLUMN()-3),""),"")))</f>
        <v>0</v>
      </c>
      <c r="I4">
        <f>IF($C4="faizan",IFERROR(INDEX('faizan grading'!$E:$Q,MATCH($A4&amp;"|"&amp;$B4,'faizan grading'!$S:$S,0),COLUMN()-3),""),IF($C4="romain",IFERROR(INDEX('romain grading'!$E:$Q,MATCH($A4&amp;"|"&amp;$B4,'romain grading'!$S:$S,0),COLUMN()-3),""),IF($C4="nishita",IFERROR(INDEX('nishita grading'!$E:$Q,MATCH($A4&amp;"|"&amp;$B4,'nishita grading'!$S:$S,0),COLUMN()-3),""),"")))</f>
        <v>0</v>
      </c>
      <c r="J4">
        <f>IF($C4="faizan",IFERROR(INDEX('faizan grading'!$E:$Q,MATCH($A4&amp;"|"&amp;$B4,'faizan grading'!$S:$S,0),COLUMN()-3),""),IF($C4="romain",IFERROR(INDEX('romain grading'!$E:$Q,MATCH($A4&amp;"|"&amp;$B4,'romain grading'!$S:$S,0),COLUMN()-3),""),IF($C4="nishita",IFERROR(INDEX('nishita grading'!$E:$Q,MATCH($A4&amp;"|"&amp;$B4,'nishita grading'!$S:$S,0),COLUMN()-3),""),"")))</f>
        <v>0</v>
      </c>
      <c r="K4">
        <f>IF($C4="faizan",IFERROR(INDEX('faizan grading'!$E:$Q,MATCH($A4&amp;"|"&amp;$B4,'faizan grading'!$S:$S,0),COLUMN()-3),""),IF($C4="romain",IFERROR(INDEX('romain grading'!$E:$Q,MATCH($A4&amp;"|"&amp;$B4,'romain grading'!$S:$S,0),COLUMN()-3),""),IF($C4="nishita",IFERROR(INDEX('nishita grading'!$E:$Q,MATCH($A4&amp;"|"&amp;$B4,'nishita grading'!$S:$S,0),COLUMN()-3),""),"")))</f>
        <v>0</v>
      </c>
      <c r="L4">
        <f>IF($C4="faizan",IFERROR(INDEX('faizan grading'!$E:$Q,MATCH($A4&amp;"|"&amp;$B4,'faizan grading'!$S:$S,0),COLUMN()-3),""),IF($C4="romain",IFERROR(INDEX('romain grading'!$E:$Q,MATCH($A4&amp;"|"&amp;$B4,'romain grading'!$S:$S,0),COLUMN()-3),""),IF($C4="nishita",IFERROR(INDEX('nishita grading'!$E:$Q,MATCH($A4&amp;"|"&amp;$B4,'nishita grading'!$S:$S,0),COLUMN()-3),""),"")))</f>
        <v>0</v>
      </c>
      <c r="M4">
        <f>IF($C4="faizan",IFERROR(INDEX('faizan grading'!$E:$Q,MATCH($A4&amp;"|"&amp;$B4,'faizan grading'!$S:$S,0),COLUMN()-3),""),IF($C4="romain",IFERROR(INDEX('romain grading'!$E:$Q,MATCH($A4&amp;"|"&amp;$B4,'romain grading'!$S:$S,0),COLUMN()-3),""),IF($C4="nishita",IFERROR(INDEX('nishita grading'!$E:$Q,MATCH($A4&amp;"|"&amp;$B4,'nishita grading'!$S:$S,0),COLUMN()-3),""),"")))</f>
        <v>0</v>
      </c>
      <c r="N4">
        <f>IF($C4="faizan",IFERROR(INDEX('faizan grading'!$E:$Q,MATCH($A4&amp;"|"&amp;$B4,'faizan grading'!$S:$S,0),COLUMN()-3),""),IF($C4="romain",IFERROR(INDEX('romain grading'!$E:$Q,MATCH($A4&amp;"|"&amp;$B4,'romain grading'!$S:$S,0),COLUMN()-3),""),IF($C4="nishita",IFERROR(INDEX('nishita grading'!$E:$Q,MATCH($A4&amp;"|"&amp;$B4,'nishita grading'!$S:$S,0),COLUMN()-3),""),"")))</f>
        <v>0</v>
      </c>
      <c r="O4">
        <f>IF($C4="faizan",IFERROR(INDEX('faizan grading'!$E:$Q,MATCH($A4&amp;"|"&amp;$B4,'faizan grading'!$S:$S,0),COLUMN()-3),""),IF($C4="romain",IFERROR(INDEX('romain grading'!$E:$Q,MATCH($A4&amp;"|"&amp;$B4,'romain grading'!$S:$S,0),COLUMN()-3),""),IF($C4="nishita",IFERROR(INDEX('nishita grading'!$E:$Q,MATCH($A4&amp;"|"&amp;$B4,'nishita grading'!$S:$S,0),COLUMN()-3),""),"")))</f>
        <v>0</v>
      </c>
      <c r="P4">
        <f>IF($C4="faizan",IFERROR(INDEX('faizan grading'!$E:$Q,MATCH($A4&amp;"|"&amp;$B4,'faizan grading'!$S:$S,0),COLUMN()-3),""),IF($C4="romain",IFERROR(INDEX('romain grading'!$E:$Q,MATCH($A4&amp;"|"&amp;$B4,'romain grading'!$S:$S,0),COLUMN()-3),""),IF($C4="nishita",IFERROR(INDEX('nishita grading'!$E:$Q,MATCH($A4&amp;"|"&amp;$B4,'nishita grading'!$S:$S,0),COLUMN()-3),""),"")))</f>
        <v>0</v>
      </c>
      <c r="Q4">
        <f t="shared" si="0"/>
        <v>42</v>
      </c>
      <c r="R4" t="str">
        <f t="shared" si="1"/>
        <v>chaotic|0001</v>
      </c>
    </row>
    <row r="5" spans="1:18" x14ac:dyDescent="0.4">
      <c r="A5" t="s">
        <v>18</v>
      </c>
      <c r="B5" t="s">
        <v>19</v>
      </c>
      <c r="C5" t="s">
        <v>23</v>
      </c>
      <c r="D5" t="str">
        <f>IF($C5="faizan",IFERROR(INDEX('faizan grading'!$E:$Q,MATCH($A5&amp;"|"&amp;$B5,'faizan grading'!$S:$S,0),COLUMN()-3),""),IF($C5="romain",IFERROR(INDEX('romain grading'!$E:$Q,MATCH($A5&amp;"|"&amp;$B5,'romain grading'!$S:$S,0),COLUMN()-3),""),IF($C5="nishita",IFERROR(INDEX('nishita grading'!$E:$Q,MATCH($A5&amp;"|"&amp;$B5,'nishita grading'!$S:$S,0),COLUMN()-3),""),"")))</f>
        <v/>
      </c>
      <c r="E5" t="str">
        <f>IF($C5="faizan",IFERROR(INDEX('faizan grading'!$E:$Q,MATCH($A5&amp;"|"&amp;$B5,'faizan grading'!$S:$S,0),COLUMN()-3),""),IF($C5="romain",IFERROR(INDEX('romain grading'!$E:$Q,MATCH($A5&amp;"|"&amp;$B5,'romain grading'!$S:$S,0),COLUMN()-3),""),IF($C5="nishita",IFERROR(INDEX('nishita grading'!$E:$Q,MATCH($A5&amp;"|"&amp;$B5,'nishita grading'!$S:$S,0),COLUMN()-3),""),"")))</f>
        <v/>
      </c>
      <c r="F5" t="str">
        <f>IF($C5="faizan",IFERROR(INDEX('faizan grading'!$E:$Q,MATCH($A5&amp;"|"&amp;$B5,'faizan grading'!$S:$S,0),COLUMN()-3),""),IF($C5="romain",IFERROR(INDEX('romain grading'!$E:$Q,MATCH($A5&amp;"|"&amp;$B5,'romain grading'!$S:$S,0),COLUMN()-3),""),IF($C5="nishita",IFERROR(INDEX('nishita grading'!$E:$Q,MATCH($A5&amp;"|"&amp;$B5,'nishita grading'!$S:$S,0),COLUMN()-3),""),"")))</f>
        <v/>
      </c>
      <c r="G5" t="str">
        <f>IF($C5="faizan",IFERROR(INDEX('faizan grading'!$E:$Q,MATCH($A5&amp;"|"&amp;$B5,'faizan grading'!$S:$S,0),COLUMN()-3),""),IF($C5="romain",IFERROR(INDEX('romain grading'!$E:$Q,MATCH($A5&amp;"|"&amp;$B5,'romain grading'!$S:$S,0),COLUMN()-3),""),IF($C5="nishita",IFERROR(INDEX('nishita grading'!$E:$Q,MATCH($A5&amp;"|"&amp;$B5,'nishita grading'!$S:$S,0),COLUMN()-3),""),"")))</f>
        <v/>
      </c>
      <c r="H5" t="str">
        <f>IF($C5="faizan",IFERROR(INDEX('faizan grading'!$E:$Q,MATCH($A5&amp;"|"&amp;$B5,'faizan grading'!$S:$S,0),COLUMN()-3),""),IF($C5="romain",IFERROR(INDEX('romain grading'!$E:$Q,MATCH($A5&amp;"|"&amp;$B5,'romain grading'!$S:$S,0),COLUMN()-3),""),IF($C5="nishita",IFERROR(INDEX('nishita grading'!$E:$Q,MATCH($A5&amp;"|"&amp;$B5,'nishita grading'!$S:$S,0),COLUMN()-3),""),"")))</f>
        <v/>
      </c>
      <c r="I5" t="str">
        <f>IF($C5="faizan",IFERROR(INDEX('faizan grading'!$E:$Q,MATCH($A5&amp;"|"&amp;$B5,'faizan grading'!$S:$S,0),COLUMN()-3),""),IF($C5="romain",IFERROR(INDEX('romain grading'!$E:$Q,MATCH($A5&amp;"|"&amp;$B5,'romain grading'!$S:$S,0),COLUMN()-3),""),IF($C5="nishita",IFERROR(INDEX('nishita grading'!$E:$Q,MATCH($A5&amp;"|"&amp;$B5,'nishita grading'!$S:$S,0),COLUMN()-3),""),"")))</f>
        <v/>
      </c>
      <c r="J5" t="str">
        <f>IF($C5="faizan",IFERROR(INDEX('faizan grading'!$E:$Q,MATCH($A5&amp;"|"&amp;$B5,'faizan grading'!$S:$S,0),COLUMN()-3),""),IF($C5="romain",IFERROR(INDEX('romain grading'!$E:$Q,MATCH($A5&amp;"|"&amp;$B5,'romain grading'!$S:$S,0),COLUMN()-3),""),IF($C5="nishita",IFERROR(INDEX('nishita grading'!$E:$Q,MATCH($A5&amp;"|"&amp;$B5,'nishita grading'!$S:$S,0),COLUMN()-3),""),"")))</f>
        <v/>
      </c>
      <c r="K5" t="str">
        <f>IF($C5="faizan",IFERROR(INDEX('faizan grading'!$E:$Q,MATCH($A5&amp;"|"&amp;$B5,'faizan grading'!$S:$S,0),COLUMN()-3),""),IF($C5="romain",IFERROR(INDEX('romain grading'!$E:$Q,MATCH($A5&amp;"|"&amp;$B5,'romain grading'!$S:$S,0),COLUMN()-3),""),IF($C5="nishita",IFERROR(INDEX('nishita grading'!$E:$Q,MATCH($A5&amp;"|"&amp;$B5,'nishita grading'!$S:$S,0),COLUMN()-3),""),"")))</f>
        <v/>
      </c>
      <c r="L5" t="str">
        <f>IF($C5="faizan",IFERROR(INDEX('faizan grading'!$E:$Q,MATCH($A5&amp;"|"&amp;$B5,'faizan grading'!$S:$S,0),COLUMN()-3),""),IF($C5="romain",IFERROR(INDEX('romain grading'!$E:$Q,MATCH($A5&amp;"|"&amp;$B5,'romain grading'!$S:$S,0),COLUMN()-3),""),IF($C5="nishita",IFERROR(INDEX('nishita grading'!$E:$Q,MATCH($A5&amp;"|"&amp;$B5,'nishita grading'!$S:$S,0),COLUMN()-3),""),"")))</f>
        <v/>
      </c>
      <c r="M5" t="str">
        <f>IF($C5="faizan",IFERROR(INDEX('faizan grading'!$E:$Q,MATCH($A5&amp;"|"&amp;$B5,'faizan grading'!$S:$S,0),COLUMN()-3),""),IF($C5="romain",IFERROR(INDEX('romain grading'!$E:$Q,MATCH($A5&amp;"|"&amp;$B5,'romain grading'!$S:$S,0),COLUMN()-3),""),IF($C5="nishita",IFERROR(INDEX('nishita grading'!$E:$Q,MATCH($A5&amp;"|"&amp;$B5,'nishita grading'!$S:$S,0),COLUMN()-3),""),"")))</f>
        <v/>
      </c>
      <c r="N5" t="str">
        <f>IF($C5="faizan",IFERROR(INDEX('faizan grading'!$E:$Q,MATCH($A5&amp;"|"&amp;$B5,'faizan grading'!$S:$S,0),COLUMN()-3),""),IF($C5="romain",IFERROR(INDEX('romain grading'!$E:$Q,MATCH($A5&amp;"|"&amp;$B5,'romain grading'!$S:$S,0),COLUMN()-3),""),IF($C5="nishita",IFERROR(INDEX('nishita grading'!$E:$Q,MATCH($A5&amp;"|"&amp;$B5,'nishita grading'!$S:$S,0),COLUMN()-3),""),"")))</f>
        <v/>
      </c>
      <c r="O5" t="str">
        <f>IF($C5="faizan",IFERROR(INDEX('faizan grading'!$E:$Q,MATCH($A5&amp;"|"&amp;$B5,'faizan grading'!$S:$S,0),COLUMN()-3),""),IF($C5="romain",IFERROR(INDEX('romain grading'!$E:$Q,MATCH($A5&amp;"|"&amp;$B5,'romain grading'!$S:$S,0),COLUMN()-3),""),IF($C5="nishita",IFERROR(INDEX('nishita grading'!$E:$Q,MATCH($A5&amp;"|"&amp;$B5,'nishita grading'!$S:$S,0),COLUMN()-3),""),"")))</f>
        <v/>
      </c>
      <c r="P5" t="str">
        <f>IF($C5="faizan",IFERROR(INDEX('faizan grading'!$E:$Q,MATCH($A5&amp;"|"&amp;$B5,'faizan grading'!$S:$S,0),COLUMN()-3),""),IF($C5="romain",IFERROR(INDEX('romain grading'!$E:$Q,MATCH($A5&amp;"|"&amp;$B5,'romain grading'!$S:$S,0),COLUMN()-3),""),IF($C5="nishita",IFERROR(INDEX('nishita grading'!$E:$Q,MATCH($A5&amp;"|"&amp;$B5,'nishita grading'!$S:$S,0),COLUMN()-3),""),"")))</f>
        <v/>
      </c>
      <c r="Q5">
        <f t="shared" si="0"/>
        <v>42</v>
      </c>
      <c r="R5" t="str">
        <f t="shared" si="1"/>
        <v>chaotic|0001</v>
      </c>
    </row>
    <row r="6" spans="1:18" x14ac:dyDescent="0.4">
      <c r="A6" t="s">
        <v>18</v>
      </c>
      <c r="B6" t="s">
        <v>24</v>
      </c>
      <c r="C6" t="s">
        <v>20</v>
      </c>
      <c r="D6">
        <f>IF($C6="faizan",IFERROR(INDEX('faizan grading'!$E:$Q,MATCH($A6&amp;"|"&amp;$B6,'faizan grading'!$S:$S,0),COLUMN()-3),""),IF($C6="romain",IFERROR(INDEX('romain grading'!$E:$Q,MATCH($A6&amp;"|"&amp;$B6,'romain grading'!$S:$S,0),COLUMN()-3),""),IF($C6="nishita",IFERROR(INDEX('nishita grading'!$E:$Q,MATCH($A6&amp;"|"&amp;$B6,'nishita grading'!$S:$S,0),COLUMN()-3),""),"")))</f>
        <v>0</v>
      </c>
      <c r="E6">
        <f>IF($C6="faizan",IFERROR(INDEX('faizan grading'!$E:$Q,MATCH($A6&amp;"|"&amp;$B6,'faizan grading'!$S:$S,0),COLUMN()-3),""),IF($C6="romain",IFERROR(INDEX('romain grading'!$E:$Q,MATCH($A6&amp;"|"&amp;$B6,'romain grading'!$S:$S,0),COLUMN()-3),""),IF($C6="nishita",IFERROR(INDEX('nishita grading'!$E:$Q,MATCH($A6&amp;"|"&amp;$B6,'nishita grading'!$S:$S,0),COLUMN()-3),""),"")))</f>
        <v>0</v>
      </c>
      <c r="F6">
        <f>IF($C6="faizan",IFERROR(INDEX('faizan grading'!$E:$Q,MATCH($A6&amp;"|"&amp;$B6,'faizan grading'!$S:$S,0),COLUMN()-3),""),IF($C6="romain",IFERROR(INDEX('romain grading'!$E:$Q,MATCH($A6&amp;"|"&amp;$B6,'romain grading'!$S:$S,0),COLUMN()-3),""),IF($C6="nishita",IFERROR(INDEX('nishita grading'!$E:$Q,MATCH($A6&amp;"|"&amp;$B6,'nishita grading'!$S:$S,0),COLUMN()-3),""),"")))</f>
        <v>0</v>
      </c>
      <c r="G6">
        <f>IF($C6="faizan",IFERROR(INDEX('faizan grading'!$E:$Q,MATCH($A6&amp;"|"&amp;$B6,'faizan grading'!$S:$S,0),COLUMN()-3),""),IF($C6="romain",IFERROR(INDEX('romain grading'!$E:$Q,MATCH($A6&amp;"|"&amp;$B6,'romain grading'!$S:$S,0),COLUMN()-3),""),IF($C6="nishita",IFERROR(INDEX('nishita grading'!$E:$Q,MATCH($A6&amp;"|"&amp;$B6,'nishita grading'!$S:$S,0),COLUMN()-3),""),"")))</f>
        <v>0</v>
      </c>
      <c r="H6">
        <f>IF($C6="faizan",IFERROR(INDEX('faizan grading'!$E:$Q,MATCH($A6&amp;"|"&amp;$B6,'faizan grading'!$S:$S,0),COLUMN()-3),""),IF($C6="romain",IFERROR(INDEX('romain grading'!$E:$Q,MATCH($A6&amp;"|"&amp;$B6,'romain grading'!$S:$S,0),COLUMN()-3),""),IF($C6="nishita",IFERROR(INDEX('nishita grading'!$E:$Q,MATCH($A6&amp;"|"&amp;$B6,'nishita grading'!$S:$S,0),COLUMN()-3),""),"")))</f>
        <v>0</v>
      </c>
      <c r="I6">
        <f>IF($C6="faizan",IFERROR(INDEX('faizan grading'!$E:$Q,MATCH($A6&amp;"|"&amp;$B6,'faizan grading'!$S:$S,0),COLUMN()-3),""),IF($C6="romain",IFERROR(INDEX('romain grading'!$E:$Q,MATCH($A6&amp;"|"&amp;$B6,'romain grading'!$S:$S,0),COLUMN()-3),""),IF($C6="nishita",IFERROR(INDEX('nishita grading'!$E:$Q,MATCH($A6&amp;"|"&amp;$B6,'nishita grading'!$S:$S,0),COLUMN()-3),""),"")))</f>
        <v>0</v>
      </c>
      <c r="J6">
        <f>IF($C6="faizan",IFERROR(INDEX('faizan grading'!$E:$Q,MATCH($A6&amp;"|"&amp;$B6,'faizan grading'!$S:$S,0),COLUMN()-3),""),IF($C6="romain",IFERROR(INDEX('romain grading'!$E:$Q,MATCH($A6&amp;"|"&amp;$B6,'romain grading'!$S:$S,0),COLUMN()-3),""),IF($C6="nishita",IFERROR(INDEX('nishita grading'!$E:$Q,MATCH($A6&amp;"|"&amp;$B6,'nishita grading'!$S:$S,0),COLUMN()-3),""),"")))</f>
        <v>0</v>
      </c>
      <c r="K6">
        <f>IF($C6="faizan",IFERROR(INDEX('faizan grading'!$E:$Q,MATCH($A6&amp;"|"&amp;$B6,'faizan grading'!$S:$S,0),COLUMN()-3),""),IF($C6="romain",IFERROR(INDEX('romain grading'!$E:$Q,MATCH($A6&amp;"|"&amp;$B6,'romain grading'!$S:$S,0),COLUMN()-3),""),IF($C6="nishita",IFERROR(INDEX('nishita grading'!$E:$Q,MATCH($A6&amp;"|"&amp;$B6,'nishita grading'!$S:$S,0),COLUMN()-3),""),"")))</f>
        <v>0</v>
      </c>
      <c r="L6">
        <f>IF($C6="faizan",IFERROR(INDEX('faizan grading'!$E:$Q,MATCH($A6&amp;"|"&amp;$B6,'faizan grading'!$S:$S,0),COLUMN()-3),""),IF($C6="romain",IFERROR(INDEX('romain grading'!$E:$Q,MATCH($A6&amp;"|"&amp;$B6,'romain grading'!$S:$S,0),COLUMN()-3),""),IF($C6="nishita",IFERROR(INDEX('nishita grading'!$E:$Q,MATCH($A6&amp;"|"&amp;$B6,'nishita grading'!$S:$S,0),COLUMN()-3),""),"")))</f>
        <v>0</v>
      </c>
      <c r="M6">
        <f>IF($C6="faizan",IFERROR(INDEX('faizan grading'!$E:$Q,MATCH($A6&amp;"|"&amp;$B6,'faizan grading'!$S:$S,0),COLUMN()-3),""),IF($C6="romain",IFERROR(INDEX('romain grading'!$E:$Q,MATCH($A6&amp;"|"&amp;$B6,'romain grading'!$S:$S,0),COLUMN()-3),""),IF($C6="nishita",IFERROR(INDEX('nishita grading'!$E:$Q,MATCH($A6&amp;"|"&amp;$B6,'nishita grading'!$S:$S,0),COLUMN()-3),""),"")))</f>
        <v>0</v>
      </c>
      <c r="N6">
        <f>IF($C6="faizan",IFERROR(INDEX('faizan grading'!$E:$Q,MATCH($A6&amp;"|"&amp;$B6,'faizan grading'!$S:$S,0),COLUMN()-3),""),IF($C6="romain",IFERROR(INDEX('romain grading'!$E:$Q,MATCH($A6&amp;"|"&amp;$B6,'romain grading'!$S:$S,0),COLUMN()-3),""),IF($C6="nishita",IFERROR(INDEX('nishita grading'!$E:$Q,MATCH($A6&amp;"|"&amp;$B6,'nishita grading'!$S:$S,0),COLUMN()-3),""),"")))</f>
        <v>0</v>
      </c>
      <c r="O6">
        <f>IF($C6="faizan",IFERROR(INDEX('faizan grading'!$E:$Q,MATCH($A6&amp;"|"&amp;$B6,'faizan grading'!$S:$S,0),COLUMN()-3),""),IF($C6="romain",IFERROR(INDEX('romain grading'!$E:$Q,MATCH($A6&amp;"|"&amp;$B6,'romain grading'!$S:$S,0),COLUMN()-3),""),IF($C6="nishita",IFERROR(INDEX('nishita grading'!$E:$Q,MATCH($A6&amp;"|"&amp;$B6,'nishita grading'!$S:$S,0),COLUMN()-3),""),"")))</f>
        <v>0</v>
      </c>
      <c r="P6">
        <f>IF($C6="faizan",IFERROR(INDEX('faizan grading'!$E:$Q,MATCH($A6&amp;"|"&amp;$B6,'faizan grading'!$S:$S,0),COLUMN()-3),""),IF($C6="romain",IFERROR(INDEX('romain grading'!$E:$Q,MATCH($A6&amp;"|"&amp;$B6,'romain grading'!$S:$S,0),COLUMN()-3),""),IF($C6="nishita",IFERROR(INDEX('nishita grading'!$E:$Q,MATCH($A6&amp;"|"&amp;$B6,'nishita grading'!$S:$S,0),COLUMN()-3),""),"")))</f>
        <v>0</v>
      </c>
      <c r="Q6">
        <f t="shared" si="0"/>
        <v>42</v>
      </c>
      <c r="R6" t="str">
        <f t="shared" si="1"/>
        <v>chaotic|0002</v>
      </c>
    </row>
    <row r="7" spans="1:18" x14ac:dyDescent="0.4">
      <c r="A7" t="s">
        <v>18</v>
      </c>
      <c r="B7" t="s">
        <v>24</v>
      </c>
      <c r="C7" t="s">
        <v>21</v>
      </c>
      <c r="D7">
        <f>IF($C7="faizan",IFERROR(INDEX('faizan grading'!$E:$Q,MATCH($A7&amp;"|"&amp;$B7,'faizan grading'!$S:$S,0),COLUMN()-3),""),IF($C7="romain",IFERROR(INDEX('romain grading'!$E:$Q,MATCH($A7&amp;"|"&amp;$B7,'romain grading'!$S:$S,0),COLUMN()-3),""),IF($C7="nishita",IFERROR(INDEX('nishita grading'!$E:$Q,MATCH($A7&amp;"|"&amp;$B7,'nishita grading'!$S:$S,0),COLUMN()-3),""),"")))</f>
        <v>0</v>
      </c>
      <c r="E7">
        <f>IF($C7="faizan",IFERROR(INDEX('faizan grading'!$E:$Q,MATCH($A7&amp;"|"&amp;$B7,'faizan grading'!$S:$S,0),COLUMN()-3),""),IF($C7="romain",IFERROR(INDEX('romain grading'!$E:$Q,MATCH($A7&amp;"|"&amp;$B7,'romain grading'!$S:$S,0),COLUMN()-3),""),IF($C7="nishita",IFERROR(INDEX('nishita grading'!$E:$Q,MATCH($A7&amp;"|"&amp;$B7,'nishita grading'!$S:$S,0),COLUMN()-3),""),"")))</f>
        <v>0</v>
      </c>
      <c r="F7">
        <f>IF($C7="faizan",IFERROR(INDEX('faizan grading'!$E:$Q,MATCH($A7&amp;"|"&amp;$B7,'faizan grading'!$S:$S,0),COLUMN()-3),""),IF($C7="romain",IFERROR(INDEX('romain grading'!$E:$Q,MATCH($A7&amp;"|"&amp;$B7,'romain grading'!$S:$S,0),COLUMN()-3),""),IF($C7="nishita",IFERROR(INDEX('nishita grading'!$E:$Q,MATCH($A7&amp;"|"&amp;$B7,'nishita grading'!$S:$S,0),COLUMN()-3),""),"")))</f>
        <v>0</v>
      </c>
      <c r="G7">
        <f>IF($C7="faizan",IFERROR(INDEX('faizan grading'!$E:$Q,MATCH($A7&amp;"|"&amp;$B7,'faizan grading'!$S:$S,0),COLUMN()-3),""),IF($C7="romain",IFERROR(INDEX('romain grading'!$E:$Q,MATCH($A7&amp;"|"&amp;$B7,'romain grading'!$S:$S,0),COLUMN()-3),""),IF($C7="nishita",IFERROR(INDEX('nishita grading'!$E:$Q,MATCH($A7&amp;"|"&amp;$B7,'nishita grading'!$S:$S,0),COLUMN()-3),""),"")))</f>
        <v>0</v>
      </c>
      <c r="H7">
        <f>IF($C7="faizan",IFERROR(INDEX('faizan grading'!$E:$Q,MATCH($A7&amp;"|"&amp;$B7,'faizan grading'!$S:$S,0),COLUMN()-3),""),IF($C7="romain",IFERROR(INDEX('romain grading'!$E:$Q,MATCH($A7&amp;"|"&amp;$B7,'romain grading'!$S:$S,0),COLUMN()-3),""),IF($C7="nishita",IFERROR(INDEX('nishita grading'!$E:$Q,MATCH($A7&amp;"|"&amp;$B7,'nishita grading'!$S:$S,0),COLUMN()-3),""),"")))</f>
        <v>0</v>
      </c>
      <c r="I7">
        <f>IF($C7="faizan",IFERROR(INDEX('faizan grading'!$E:$Q,MATCH($A7&amp;"|"&amp;$B7,'faizan grading'!$S:$S,0),COLUMN()-3),""),IF($C7="romain",IFERROR(INDEX('romain grading'!$E:$Q,MATCH($A7&amp;"|"&amp;$B7,'romain grading'!$S:$S,0),COLUMN()-3),""),IF($C7="nishita",IFERROR(INDEX('nishita grading'!$E:$Q,MATCH($A7&amp;"|"&amp;$B7,'nishita grading'!$S:$S,0),COLUMN()-3),""),"")))</f>
        <v>0</v>
      </c>
      <c r="J7">
        <f>IF($C7="faizan",IFERROR(INDEX('faizan grading'!$E:$Q,MATCH($A7&amp;"|"&amp;$B7,'faizan grading'!$S:$S,0),COLUMN()-3),""),IF($C7="romain",IFERROR(INDEX('romain grading'!$E:$Q,MATCH($A7&amp;"|"&amp;$B7,'romain grading'!$S:$S,0),COLUMN()-3),""),IF($C7="nishita",IFERROR(INDEX('nishita grading'!$E:$Q,MATCH($A7&amp;"|"&amp;$B7,'nishita grading'!$S:$S,0),COLUMN()-3),""),"")))</f>
        <v>0</v>
      </c>
      <c r="K7">
        <f>IF($C7="faizan",IFERROR(INDEX('faizan grading'!$E:$Q,MATCH($A7&amp;"|"&amp;$B7,'faizan grading'!$S:$S,0),COLUMN()-3),""),IF($C7="romain",IFERROR(INDEX('romain grading'!$E:$Q,MATCH($A7&amp;"|"&amp;$B7,'romain grading'!$S:$S,0),COLUMN()-3),""),IF($C7="nishita",IFERROR(INDEX('nishita grading'!$E:$Q,MATCH($A7&amp;"|"&amp;$B7,'nishita grading'!$S:$S,0),COLUMN()-3),""),"")))</f>
        <v>0</v>
      </c>
      <c r="L7">
        <f>IF($C7="faizan",IFERROR(INDEX('faizan grading'!$E:$Q,MATCH($A7&amp;"|"&amp;$B7,'faizan grading'!$S:$S,0),COLUMN()-3),""),IF($C7="romain",IFERROR(INDEX('romain grading'!$E:$Q,MATCH($A7&amp;"|"&amp;$B7,'romain grading'!$S:$S,0),COLUMN()-3),""),IF($C7="nishita",IFERROR(INDEX('nishita grading'!$E:$Q,MATCH($A7&amp;"|"&amp;$B7,'nishita grading'!$S:$S,0),COLUMN()-3),""),"")))</f>
        <v>0</v>
      </c>
      <c r="M7">
        <f>IF($C7="faizan",IFERROR(INDEX('faizan grading'!$E:$Q,MATCH($A7&amp;"|"&amp;$B7,'faizan grading'!$S:$S,0),COLUMN()-3),""),IF($C7="romain",IFERROR(INDEX('romain grading'!$E:$Q,MATCH($A7&amp;"|"&amp;$B7,'romain grading'!$S:$S,0),COLUMN()-3),""),IF($C7="nishita",IFERROR(INDEX('nishita grading'!$E:$Q,MATCH($A7&amp;"|"&amp;$B7,'nishita grading'!$S:$S,0),COLUMN()-3),""),"")))</f>
        <v>0</v>
      </c>
      <c r="N7">
        <f>IF($C7="faizan",IFERROR(INDEX('faizan grading'!$E:$Q,MATCH($A7&amp;"|"&amp;$B7,'faizan grading'!$S:$S,0),COLUMN()-3),""),IF($C7="romain",IFERROR(INDEX('romain grading'!$E:$Q,MATCH($A7&amp;"|"&amp;$B7,'romain grading'!$S:$S,0),COLUMN()-3),""),IF($C7="nishita",IFERROR(INDEX('nishita grading'!$E:$Q,MATCH($A7&amp;"|"&amp;$B7,'nishita grading'!$S:$S,0),COLUMN()-3),""),"")))</f>
        <v>0</v>
      </c>
      <c r="O7">
        <f>IF($C7="faizan",IFERROR(INDEX('faizan grading'!$E:$Q,MATCH($A7&amp;"|"&amp;$B7,'faizan grading'!$S:$S,0),COLUMN()-3),""),IF($C7="romain",IFERROR(INDEX('romain grading'!$E:$Q,MATCH($A7&amp;"|"&amp;$B7,'romain grading'!$S:$S,0),COLUMN()-3),""),IF($C7="nishita",IFERROR(INDEX('nishita grading'!$E:$Q,MATCH($A7&amp;"|"&amp;$B7,'nishita grading'!$S:$S,0),COLUMN()-3),""),"")))</f>
        <v>0</v>
      </c>
      <c r="P7">
        <f>IF($C7="faizan",IFERROR(INDEX('faizan grading'!$E:$Q,MATCH($A7&amp;"|"&amp;$B7,'faizan grading'!$S:$S,0),COLUMN()-3),""),IF($C7="romain",IFERROR(INDEX('romain grading'!$E:$Q,MATCH($A7&amp;"|"&amp;$B7,'romain grading'!$S:$S,0),COLUMN()-3),""),IF($C7="nishita",IFERROR(INDEX('nishita grading'!$E:$Q,MATCH($A7&amp;"|"&amp;$B7,'nishita grading'!$S:$S,0),COLUMN()-3),""),"")))</f>
        <v>0</v>
      </c>
      <c r="Q7">
        <f t="shared" si="0"/>
        <v>42</v>
      </c>
      <c r="R7" t="str">
        <f t="shared" si="1"/>
        <v>chaotic|0002</v>
      </c>
    </row>
    <row r="8" spans="1:18" x14ac:dyDescent="0.4">
      <c r="A8" t="s">
        <v>18</v>
      </c>
      <c r="B8" t="s">
        <v>24</v>
      </c>
      <c r="C8" t="s">
        <v>22</v>
      </c>
      <c r="D8">
        <f>IF($C8="faizan",IFERROR(INDEX('faizan grading'!$E:$Q,MATCH($A8&amp;"|"&amp;$B8,'faizan grading'!$S:$S,0),COLUMN()-3),""),IF($C8="romain",IFERROR(INDEX('romain grading'!$E:$Q,MATCH($A8&amp;"|"&amp;$B8,'romain grading'!$S:$S,0),COLUMN()-3),""),IF($C8="nishita",IFERROR(INDEX('nishita grading'!$E:$Q,MATCH($A8&amp;"|"&amp;$B8,'nishita grading'!$S:$S,0),COLUMN()-3),""),"")))</f>
        <v>0</v>
      </c>
      <c r="E8">
        <f>IF($C8="faizan",IFERROR(INDEX('faizan grading'!$E:$Q,MATCH($A8&amp;"|"&amp;$B8,'faizan grading'!$S:$S,0),COLUMN()-3),""),IF($C8="romain",IFERROR(INDEX('romain grading'!$E:$Q,MATCH($A8&amp;"|"&amp;$B8,'romain grading'!$S:$S,0),COLUMN()-3),""),IF($C8="nishita",IFERROR(INDEX('nishita grading'!$E:$Q,MATCH($A8&amp;"|"&amp;$B8,'nishita grading'!$S:$S,0),COLUMN()-3),""),"")))</f>
        <v>0</v>
      </c>
      <c r="F8">
        <f>IF($C8="faizan",IFERROR(INDEX('faizan grading'!$E:$Q,MATCH($A8&amp;"|"&amp;$B8,'faizan grading'!$S:$S,0),COLUMN()-3),""),IF($C8="romain",IFERROR(INDEX('romain grading'!$E:$Q,MATCH($A8&amp;"|"&amp;$B8,'romain grading'!$S:$S,0),COLUMN()-3),""),IF($C8="nishita",IFERROR(INDEX('nishita grading'!$E:$Q,MATCH($A8&amp;"|"&amp;$B8,'nishita grading'!$S:$S,0),COLUMN()-3),""),"")))</f>
        <v>0</v>
      </c>
      <c r="G8">
        <f>IF($C8="faizan",IFERROR(INDEX('faizan grading'!$E:$Q,MATCH($A8&amp;"|"&amp;$B8,'faizan grading'!$S:$S,0),COLUMN()-3),""),IF($C8="romain",IFERROR(INDEX('romain grading'!$E:$Q,MATCH($A8&amp;"|"&amp;$B8,'romain grading'!$S:$S,0),COLUMN()-3),""),IF($C8="nishita",IFERROR(INDEX('nishita grading'!$E:$Q,MATCH($A8&amp;"|"&amp;$B8,'nishita grading'!$S:$S,0),COLUMN()-3),""),"")))</f>
        <v>0</v>
      </c>
      <c r="H8">
        <f>IF($C8="faizan",IFERROR(INDEX('faizan grading'!$E:$Q,MATCH($A8&amp;"|"&amp;$B8,'faizan grading'!$S:$S,0),COLUMN()-3),""),IF($C8="romain",IFERROR(INDEX('romain grading'!$E:$Q,MATCH($A8&amp;"|"&amp;$B8,'romain grading'!$S:$S,0),COLUMN()-3),""),IF($C8="nishita",IFERROR(INDEX('nishita grading'!$E:$Q,MATCH($A8&amp;"|"&amp;$B8,'nishita grading'!$S:$S,0),COLUMN()-3),""),"")))</f>
        <v>0</v>
      </c>
      <c r="I8">
        <f>IF($C8="faizan",IFERROR(INDEX('faizan grading'!$E:$Q,MATCH($A8&amp;"|"&amp;$B8,'faizan grading'!$S:$S,0),COLUMN()-3),""),IF($C8="romain",IFERROR(INDEX('romain grading'!$E:$Q,MATCH($A8&amp;"|"&amp;$B8,'romain grading'!$S:$S,0),COLUMN()-3),""),IF($C8="nishita",IFERROR(INDEX('nishita grading'!$E:$Q,MATCH($A8&amp;"|"&amp;$B8,'nishita grading'!$S:$S,0),COLUMN()-3),""),"")))</f>
        <v>0</v>
      </c>
      <c r="J8">
        <f>IF($C8="faizan",IFERROR(INDEX('faizan grading'!$E:$Q,MATCH($A8&amp;"|"&amp;$B8,'faizan grading'!$S:$S,0),COLUMN()-3),""),IF($C8="romain",IFERROR(INDEX('romain grading'!$E:$Q,MATCH($A8&amp;"|"&amp;$B8,'romain grading'!$S:$S,0),COLUMN()-3),""),IF($C8="nishita",IFERROR(INDEX('nishita grading'!$E:$Q,MATCH($A8&amp;"|"&amp;$B8,'nishita grading'!$S:$S,0),COLUMN()-3),""),"")))</f>
        <v>0</v>
      </c>
      <c r="K8">
        <f>IF($C8="faizan",IFERROR(INDEX('faizan grading'!$E:$Q,MATCH($A8&amp;"|"&amp;$B8,'faizan grading'!$S:$S,0),COLUMN()-3),""),IF($C8="romain",IFERROR(INDEX('romain grading'!$E:$Q,MATCH($A8&amp;"|"&amp;$B8,'romain grading'!$S:$S,0),COLUMN()-3),""),IF($C8="nishita",IFERROR(INDEX('nishita grading'!$E:$Q,MATCH($A8&amp;"|"&amp;$B8,'nishita grading'!$S:$S,0),COLUMN()-3),""),"")))</f>
        <v>0</v>
      </c>
      <c r="L8">
        <f>IF($C8="faizan",IFERROR(INDEX('faizan grading'!$E:$Q,MATCH($A8&amp;"|"&amp;$B8,'faizan grading'!$S:$S,0),COLUMN()-3),""),IF($C8="romain",IFERROR(INDEX('romain grading'!$E:$Q,MATCH($A8&amp;"|"&amp;$B8,'romain grading'!$S:$S,0),COLUMN()-3),""),IF($C8="nishita",IFERROR(INDEX('nishita grading'!$E:$Q,MATCH($A8&amp;"|"&amp;$B8,'nishita grading'!$S:$S,0),COLUMN()-3),""),"")))</f>
        <v>0</v>
      </c>
      <c r="M8">
        <f>IF($C8="faizan",IFERROR(INDEX('faizan grading'!$E:$Q,MATCH($A8&amp;"|"&amp;$B8,'faizan grading'!$S:$S,0),COLUMN()-3),""),IF($C8="romain",IFERROR(INDEX('romain grading'!$E:$Q,MATCH($A8&amp;"|"&amp;$B8,'romain grading'!$S:$S,0),COLUMN()-3),""),IF($C8="nishita",IFERROR(INDEX('nishita grading'!$E:$Q,MATCH($A8&amp;"|"&amp;$B8,'nishita grading'!$S:$S,0),COLUMN()-3),""),"")))</f>
        <v>0</v>
      </c>
      <c r="N8">
        <f>IF($C8="faizan",IFERROR(INDEX('faizan grading'!$E:$Q,MATCH($A8&amp;"|"&amp;$B8,'faizan grading'!$S:$S,0),COLUMN()-3),""),IF($C8="romain",IFERROR(INDEX('romain grading'!$E:$Q,MATCH($A8&amp;"|"&amp;$B8,'romain grading'!$S:$S,0),COLUMN()-3),""),IF($C8="nishita",IFERROR(INDEX('nishita grading'!$E:$Q,MATCH($A8&amp;"|"&amp;$B8,'nishita grading'!$S:$S,0),COLUMN()-3),""),"")))</f>
        <v>0</v>
      </c>
      <c r="O8">
        <f>IF($C8="faizan",IFERROR(INDEX('faizan grading'!$E:$Q,MATCH($A8&amp;"|"&amp;$B8,'faizan grading'!$S:$S,0),COLUMN()-3),""),IF($C8="romain",IFERROR(INDEX('romain grading'!$E:$Q,MATCH($A8&amp;"|"&amp;$B8,'romain grading'!$S:$S,0),COLUMN()-3),""),IF($C8="nishita",IFERROR(INDEX('nishita grading'!$E:$Q,MATCH($A8&amp;"|"&amp;$B8,'nishita grading'!$S:$S,0),COLUMN()-3),""),"")))</f>
        <v>0</v>
      </c>
      <c r="P8">
        <f>IF($C8="faizan",IFERROR(INDEX('faizan grading'!$E:$Q,MATCH($A8&amp;"|"&amp;$B8,'faizan grading'!$S:$S,0),COLUMN()-3),""),IF($C8="romain",IFERROR(INDEX('romain grading'!$E:$Q,MATCH($A8&amp;"|"&amp;$B8,'romain grading'!$S:$S,0),COLUMN()-3),""),IF($C8="nishita",IFERROR(INDEX('nishita grading'!$E:$Q,MATCH($A8&amp;"|"&amp;$B8,'nishita grading'!$S:$S,0),COLUMN()-3),""),"")))</f>
        <v>0</v>
      </c>
      <c r="Q8">
        <f t="shared" si="0"/>
        <v>42</v>
      </c>
      <c r="R8" t="str">
        <f t="shared" si="1"/>
        <v>chaotic|0002</v>
      </c>
    </row>
    <row r="9" spans="1:18" x14ac:dyDescent="0.4">
      <c r="A9" t="s">
        <v>18</v>
      </c>
      <c r="B9" t="s">
        <v>24</v>
      </c>
      <c r="C9" t="s">
        <v>23</v>
      </c>
      <c r="D9" t="str">
        <f>IF($C9="faizan",IFERROR(INDEX('faizan grading'!$E:$Q,MATCH($A9&amp;"|"&amp;$B9,'faizan grading'!$S:$S,0),COLUMN()-3),""),IF($C9="romain",IFERROR(INDEX('romain grading'!$E:$Q,MATCH($A9&amp;"|"&amp;$B9,'romain grading'!$S:$S,0),COLUMN()-3),""),IF($C9="nishita",IFERROR(INDEX('nishita grading'!$E:$Q,MATCH($A9&amp;"|"&amp;$B9,'nishita grading'!$S:$S,0),COLUMN()-3),""),"")))</f>
        <v/>
      </c>
      <c r="E9" t="str">
        <f>IF($C9="faizan",IFERROR(INDEX('faizan grading'!$E:$Q,MATCH($A9&amp;"|"&amp;$B9,'faizan grading'!$S:$S,0),COLUMN()-3),""),IF($C9="romain",IFERROR(INDEX('romain grading'!$E:$Q,MATCH($A9&amp;"|"&amp;$B9,'romain grading'!$S:$S,0),COLUMN()-3),""),IF($C9="nishita",IFERROR(INDEX('nishita grading'!$E:$Q,MATCH($A9&amp;"|"&amp;$B9,'nishita grading'!$S:$S,0),COLUMN()-3),""),"")))</f>
        <v/>
      </c>
      <c r="F9" t="str">
        <f>IF($C9="faizan",IFERROR(INDEX('faizan grading'!$E:$Q,MATCH($A9&amp;"|"&amp;$B9,'faizan grading'!$S:$S,0),COLUMN()-3),""),IF($C9="romain",IFERROR(INDEX('romain grading'!$E:$Q,MATCH($A9&amp;"|"&amp;$B9,'romain grading'!$S:$S,0),COLUMN()-3),""),IF($C9="nishita",IFERROR(INDEX('nishita grading'!$E:$Q,MATCH($A9&amp;"|"&amp;$B9,'nishita grading'!$S:$S,0),COLUMN()-3),""),"")))</f>
        <v/>
      </c>
      <c r="G9" t="str">
        <f>IF($C9="faizan",IFERROR(INDEX('faizan grading'!$E:$Q,MATCH($A9&amp;"|"&amp;$B9,'faizan grading'!$S:$S,0),COLUMN()-3),""),IF($C9="romain",IFERROR(INDEX('romain grading'!$E:$Q,MATCH($A9&amp;"|"&amp;$B9,'romain grading'!$S:$S,0),COLUMN()-3),""),IF($C9="nishita",IFERROR(INDEX('nishita grading'!$E:$Q,MATCH($A9&amp;"|"&amp;$B9,'nishita grading'!$S:$S,0),COLUMN()-3),""),"")))</f>
        <v/>
      </c>
      <c r="H9" t="str">
        <f>IF($C9="faizan",IFERROR(INDEX('faizan grading'!$E:$Q,MATCH($A9&amp;"|"&amp;$B9,'faizan grading'!$S:$S,0),COLUMN()-3),""),IF($C9="romain",IFERROR(INDEX('romain grading'!$E:$Q,MATCH($A9&amp;"|"&amp;$B9,'romain grading'!$S:$S,0),COLUMN()-3),""),IF($C9="nishita",IFERROR(INDEX('nishita grading'!$E:$Q,MATCH($A9&amp;"|"&amp;$B9,'nishita grading'!$S:$S,0),COLUMN()-3),""),"")))</f>
        <v/>
      </c>
      <c r="I9" t="str">
        <f>IF($C9="faizan",IFERROR(INDEX('faizan grading'!$E:$Q,MATCH($A9&amp;"|"&amp;$B9,'faizan grading'!$S:$S,0),COLUMN()-3),""),IF($C9="romain",IFERROR(INDEX('romain grading'!$E:$Q,MATCH($A9&amp;"|"&amp;$B9,'romain grading'!$S:$S,0),COLUMN()-3),""),IF($C9="nishita",IFERROR(INDEX('nishita grading'!$E:$Q,MATCH($A9&amp;"|"&amp;$B9,'nishita grading'!$S:$S,0),COLUMN()-3),""),"")))</f>
        <v/>
      </c>
      <c r="J9" t="str">
        <f>IF($C9="faizan",IFERROR(INDEX('faizan grading'!$E:$Q,MATCH($A9&amp;"|"&amp;$B9,'faizan grading'!$S:$S,0),COLUMN()-3),""),IF($C9="romain",IFERROR(INDEX('romain grading'!$E:$Q,MATCH($A9&amp;"|"&amp;$B9,'romain grading'!$S:$S,0),COLUMN()-3),""),IF($C9="nishita",IFERROR(INDEX('nishita grading'!$E:$Q,MATCH($A9&amp;"|"&amp;$B9,'nishita grading'!$S:$S,0),COLUMN()-3),""),"")))</f>
        <v/>
      </c>
      <c r="K9" t="str">
        <f>IF($C9="faizan",IFERROR(INDEX('faizan grading'!$E:$Q,MATCH($A9&amp;"|"&amp;$B9,'faizan grading'!$S:$S,0),COLUMN()-3),""),IF($C9="romain",IFERROR(INDEX('romain grading'!$E:$Q,MATCH($A9&amp;"|"&amp;$B9,'romain grading'!$S:$S,0),COLUMN()-3),""),IF($C9="nishita",IFERROR(INDEX('nishita grading'!$E:$Q,MATCH($A9&amp;"|"&amp;$B9,'nishita grading'!$S:$S,0),COLUMN()-3),""),"")))</f>
        <v/>
      </c>
      <c r="L9" t="str">
        <f>IF($C9="faizan",IFERROR(INDEX('faizan grading'!$E:$Q,MATCH($A9&amp;"|"&amp;$B9,'faizan grading'!$S:$S,0),COLUMN()-3),""),IF($C9="romain",IFERROR(INDEX('romain grading'!$E:$Q,MATCH($A9&amp;"|"&amp;$B9,'romain grading'!$S:$S,0),COLUMN()-3),""),IF($C9="nishita",IFERROR(INDEX('nishita grading'!$E:$Q,MATCH($A9&amp;"|"&amp;$B9,'nishita grading'!$S:$S,0),COLUMN()-3),""),"")))</f>
        <v/>
      </c>
      <c r="M9" t="str">
        <f>IF($C9="faizan",IFERROR(INDEX('faizan grading'!$E:$Q,MATCH($A9&amp;"|"&amp;$B9,'faizan grading'!$S:$S,0),COLUMN()-3),""),IF($C9="romain",IFERROR(INDEX('romain grading'!$E:$Q,MATCH($A9&amp;"|"&amp;$B9,'romain grading'!$S:$S,0),COLUMN()-3),""),IF($C9="nishita",IFERROR(INDEX('nishita grading'!$E:$Q,MATCH($A9&amp;"|"&amp;$B9,'nishita grading'!$S:$S,0),COLUMN()-3),""),"")))</f>
        <v/>
      </c>
      <c r="N9" t="str">
        <f>IF($C9="faizan",IFERROR(INDEX('faizan grading'!$E:$Q,MATCH($A9&amp;"|"&amp;$B9,'faizan grading'!$S:$S,0),COLUMN()-3),""),IF($C9="romain",IFERROR(INDEX('romain grading'!$E:$Q,MATCH($A9&amp;"|"&amp;$B9,'romain grading'!$S:$S,0),COLUMN()-3),""),IF($C9="nishita",IFERROR(INDEX('nishita grading'!$E:$Q,MATCH($A9&amp;"|"&amp;$B9,'nishita grading'!$S:$S,0),COLUMN()-3),""),"")))</f>
        <v/>
      </c>
      <c r="O9" t="str">
        <f>IF($C9="faizan",IFERROR(INDEX('faizan grading'!$E:$Q,MATCH($A9&amp;"|"&amp;$B9,'faizan grading'!$S:$S,0),COLUMN()-3),""),IF($C9="romain",IFERROR(INDEX('romain grading'!$E:$Q,MATCH($A9&amp;"|"&amp;$B9,'romain grading'!$S:$S,0),COLUMN()-3),""),IF($C9="nishita",IFERROR(INDEX('nishita grading'!$E:$Q,MATCH($A9&amp;"|"&amp;$B9,'nishita grading'!$S:$S,0),COLUMN()-3),""),"")))</f>
        <v/>
      </c>
      <c r="P9" t="str">
        <f>IF($C9="faizan",IFERROR(INDEX('faizan grading'!$E:$Q,MATCH($A9&amp;"|"&amp;$B9,'faizan grading'!$S:$S,0),COLUMN()-3),""),IF($C9="romain",IFERROR(INDEX('romain grading'!$E:$Q,MATCH($A9&amp;"|"&amp;$B9,'romain grading'!$S:$S,0),COLUMN()-3),""),IF($C9="nishita",IFERROR(INDEX('nishita grading'!$E:$Q,MATCH($A9&amp;"|"&amp;$B9,'nishita grading'!$S:$S,0),COLUMN()-3),""),"")))</f>
        <v/>
      </c>
      <c r="Q9">
        <f t="shared" si="0"/>
        <v>42</v>
      </c>
      <c r="R9" t="str">
        <f t="shared" si="1"/>
        <v>chaotic|0002</v>
      </c>
    </row>
    <row r="10" spans="1:18" x14ac:dyDescent="0.4">
      <c r="A10" t="s">
        <v>25</v>
      </c>
      <c r="B10" t="s">
        <v>19</v>
      </c>
      <c r="C10" t="s">
        <v>20</v>
      </c>
      <c r="D10">
        <f>IF($C10="faizan",IFERROR(INDEX('faizan grading'!$E:$Q,MATCH($A10&amp;"|"&amp;$B10,'faizan grading'!$S:$S,0),COLUMN()-3),""),IF($C10="romain",IFERROR(INDEX('romain grading'!$E:$Q,MATCH($A10&amp;"|"&amp;$B10,'romain grading'!$S:$S,0),COLUMN()-3),""),IF($C10="nishita",IFERROR(INDEX('nishita grading'!$E:$Q,MATCH($A10&amp;"|"&amp;$B10,'nishita grading'!$S:$S,0),COLUMN()-3),""),"")))</f>
        <v>0</v>
      </c>
      <c r="E10">
        <f>IF($C10="faizan",IFERROR(INDEX('faizan grading'!$E:$Q,MATCH($A10&amp;"|"&amp;$B10,'faizan grading'!$S:$S,0),COLUMN()-3),""),IF($C10="romain",IFERROR(INDEX('romain grading'!$E:$Q,MATCH($A10&amp;"|"&amp;$B10,'romain grading'!$S:$S,0),COLUMN()-3),""),IF($C10="nishita",IFERROR(INDEX('nishita grading'!$E:$Q,MATCH($A10&amp;"|"&amp;$B10,'nishita grading'!$S:$S,0),COLUMN()-3),""),"")))</f>
        <v>0</v>
      </c>
      <c r="F10">
        <f>IF($C10="faizan",IFERROR(INDEX('faizan grading'!$E:$Q,MATCH($A10&amp;"|"&amp;$B10,'faizan grading'!$S:$S,0),COLUMN()-3),""),IF($C10="romain",IFERROR(INDEX('romain grading'!$E:$Q,MATCH($A10&amp;"|"&amp;$B10,'romain grading'!$S:$S,0),COLUMN()-3),""),IF($C10="nishita",IFERROR(INDEX('nishita grading'!$E:$Q,MATCH($A10&amp;"|"&amp;$B10,'nishita grading'!$S:$S,0),COLUMN()-3),""),"")))</f>
        <v>0</v>
      </c>
      <c r="G10">
        <f>IF($C10="faizan",IFERROR(INDEX('faizan grading'!$E:$Q,MATCH($A10&amp;"|"&amp;$B10,'faizan grading'!$S:$S,0),COLUMN()-3),""),IF($C10="romain",IFERROR(INDEX('romain grading'!$E:$Q,MATCH($A10&amp;"|"&amp;$B10,'romain grading'!$S:$S,0),COLUMN()-3),""),IF($C10="nishita",IFERROR(INDEX('nishita grading'!$E:$Q,MATCH($A10&amp;"|"&amp;$B10,'nishita grading'!$S:$S,0),COLUMN()-3),""),"")))</f>
        <v>0</v>
      </c>
      <c r="H10">
        <f>IF($C10="faizan",IFERROR(INDEX('faizan grading'!$E:$Q,MATCH($A10&amp;"|"&amp;$B10,'faizan grading'!$S:$S,0),COLUMN()-3),""),IF($C10="romain",IFERROR(INDEX('romain grading'!$E:$Q,MATCH($A10&amp;"|"&amp;$B10,'romain grading'!$S:$S,0),COLUMN()-3),""),IF($C10="nishita",IFERROR(INDEX('nishita grading'!$E:$Q,MATCH($A10&amp;"|"&amp;$B10,'nishita grading'!$S:$S,0),COLUMN()-3),""),"")))</f>
        <v>0</v>
      </c>
      <c r="I10">
        <f>IF($C10="faizan",IFERROR(INDEX('faizan grading'!$E:$Q,MATCH($A10&amp;"|"&amp;$B10,'faizan grading'!$S:$S,0),COLUMN()-3),""),IF($C10="romain",IFERROR(INDEX('romain grading'!$E:$Q,MATCH($A10&amp;"|"&amp;$B10,'romain grading'!$S:$S,0),COLUMN()-3),""),IF($C10="nishita",IFERROR(INDEX('nishita grading'!$E:$Q,MATCH($A10&amp;"|"&amp;$B10,'nishita grading'!$S:$S,0),COLUMN()-3),""),"")))</f>
        <v>0</v>
      </c>
      <c r="J10">
        <f>IF($C10="faizan",IFERROR(INDEX('faizan grading'!$E:$Q,MATCH($A10&amp;"|"&amp;$B10,'faizan grading'!$S:$S,0),COLUMN()-3),""),IF($C10="romain",IFERROR(INDEX('romain grading'!$E:$Q,MATCH($A10&amp;"|"&amp;$B10,'romain grading'!$S:$S,0),COLUMN()-3),""),IF($C10="nishita",IFERROR(INDEX('nishita grading'!$E:$Q,MATCH($A10&amp;"|"&amp;$B10,'nishita grading'!$S:$S,0),COLUMN()-3),""),"")))</f>
        <v>0</v>
      </c>
      <c r="K10">
        <f>IF($C10="faizan",IFERROR(INDEX('faizan grading'!$E:$Q,MATCH($A10&amp;"|"&amp;$B10,'faizan grading'!$S:$S,0),COLUMN()-3),""),IF($C10="romain",IFERROR(INDEX('romain grading'!$E:$Q,MATCH($A10&amp;"|"&amp;$B10,'romain grading'!$S:$S,0),COLUMN()-3),""),IF($C10="nishita",IFERROR(INDEX('nishita grading'!$E:$Q,MATCH($A10&amp;"|"&amp;$B10,'nishita grading'!$S:$S,0),COLUMN()-3),""),"")))</f>
        <v>0</v>
      </c>
      <c r="L10">
        <f>IF($C10="faizan",IFERROR(INDEX('faizan grading'!$E:$Q,MATCH($A10&amp;"|"&amp;$B10,'faizan grading'!$S:$S,0),COLUMN()-3),""),IF($C10="romain",IFERROR(INDEX('romain grading'!$E:$Q,MATCH($A10&amp;"|"&amp;$B10,'romain grading'!$S:$S,0),COLUMN()-3),""),IF($C10="nishita",IFERROR(INDEX('nishita grading'!$E:$Q,MATCH($A10&amp;"|"&amp;$B10,'nishita grading'!$S:$S,0),COLUMN()-3),""),"")))</f>
        <v>0</v>
      </c>
      <c r="M10">
        <f>IF($C10="faizan",IFERROR(INDEX('faizan grading'!$E:$Q,MATCH($A10&amp;"|"&amp;$B10,'faizan grading'!$S:$S,0),COLUMN()-3),""),IF($C10="romain",IFERROR(INDEX('romain grading'!$E:$Q,MATCH($A10&amp;"|"&amp;$B10,'romain grading'!$S:$S,0),COLUMN()-3),""),IF($C10="nishita",IFERROR(INDEX('nishita grading'!$E:$Q,MATCH($A10&amp;"|"&amp;$B10,'nishita grading'!$S:$S,0),COLUMN()-3),""),"")))</f>
        <v>0</v>
      </c>
      <c r="N10">
        <f>IF($C10="faizan",IFERROR(INDEX('faizan grading'!$E:$Q,MATCH($A10&amp;"|"&amp;$B10,'faizan grading'!$S:$S,0),COLUMN()-3),""),IF($C10="romain",IFERROR(INDEX('romain grading'!$E:$Q,MATCH($A10&amp;"|"&amp;$B10,'romain grading'!$S:$S,0),COLUMN()-3),""),IF($C10="nishita",IFERROR(INDEX('nishita grading'!$E:$Q,MATCH($A10&amp;"|"&amp;$B10,'nishita grading'!$S:$S,0),COLUMN()-3),""),"")))</f>
        <v>0</v>
      </c>
      <c r="O10">
        <f>IF($C10="faizan",IFERROR(INDEX('faizan grading'!$E:$Q,MATCH($A10&amp;"|"&amp;$B10,'faizan grading'!$S:$S,0),COLUMN()-3),""),IF($C10="romain",IFERROR(INDEX('romain grading'!$E:$Q,MATCH($A10&amp;"|"&amp;$B10,'romain grading'!$S:$S,0),COLUMN()-3),""),IF($C10="nishita",IFERROR(INDEX('nishita grading'!$E:$Q,MATCH($A10&amp;"|"&amp;$B10,'nishita grading'!$S:$S,0),COLUMN()-3),""),"")))</f>
        <v>0</v>
      </c>
      <c r="P10">
        <f>IF($C10="faizan",IFERROR(INDEX('faizan grading'!$E:$Q,MATCH($A10&amp;"|"&amp;$B10,'faizan grading'!$S:$S,0),COLUMN()-3),""),IF($C10="romain",IFERROR(INDEX('romain grading'!$E:$Q,MATCH($A10&amp;"|"&amp;$B10,'romain grading'!$S:$S,0),COLUMN()-3),""),IF($C10="nishita",IFERROR(INDEX('nishita grading'!$E:$Q,MATCH($A10&amp;"|"&amp;$B10,'nishita grading'!$S:$S,0),COLUMN()-3),""),"")))</f>
        <v>0</v>
      </c>
      <c r="Q10">
        <f t="shared" si="0"/>
        <v>42</v>
      </c>
      <c r="R10" t="str">
        <f t="shared" si="1"/>
        <v>clueless|0001</v>
      </c>
    </row>
    <row r="11" spans="1:18" x14ac:dyDescent="0.4">
      <c r="A11" t="s">
        <v>25</v>
      </c>
      <c r="B11" t="s">
        <v>19</v>
      </c>
      <c r="C11" t="s">
        <v>21</v>
      </c>
      <c r="D11">
        <f>IF($C11="faizan",IFERROR(INDEX('faizan grading'!$E:$Q,MATCH($A11&amp;"|"&amp;$B11,'faizan grading'!$S:$S,0),COLUMN()-3),""),IF($C11="romain",IFERROR(INDEX('romain grading'!$E:$Q,MATCH($A11&amp;"|"&amp;$B11,'romain grading'!$S:$S,0),COLUMN()-3),""),IF($C11="nishita",IFERROR(INDEX('nishita grading'!$E:$Q,MATCH($A11&amp;"|"&amp;$B11,'nishita grading'!$S:$S,0),COLUMN()-3),""),"")))</f>
        <v>0</v>
      </c>
      <c r="E11">
        <f>IF($C11="faizan",IFERROR(INDEX('faizan grading'!$E:$Q,MATCH($A11&amp;"|"&amp;$B11,'faizan grading'!$S:$S,0),COLUMN()-3),""),IF($C11="romain",IFERROR(INDEX('romain grading'!$E:$Q,MATCH($A11&amp;"|"&amp;$B11,'romain grading'!$S:$S,0),COLUMN()-3),""),IF($C11="nishita",IFERROR(INDEX('nishita grading'!$E:$Q,MATCH($A11&amp;"|"&amp;$B11,'nishita grading'!$S:$S,0),COLUMN()-3),""),"")))</f>
        <v>0</v>
      </c>
      <c r="F11">
        <f>IF($C11="faizan",IFERROR(INDEX('faizan grading'!$E:$Q,MATCH($A11&amp;"|"&amp;$B11,'faizan grading'!$S:$S,0),COLUMN()-3),""),IF($C11="romain",IFERROR(INDEX('romain grading'!$E:$Q,MATCH($A11&amp;"|"&amp;$B11,'romain grading'!$S:$S,0),COLUMN()-3),""),IF($C11="nishita",IFERROR(INDEX('nishita grading'!$E:$Q,MATCH($A11&amp;"|"&amp;$B11,'nishita grading'!$S:$S,0),COLUMN()-3),""),"")))</f>
        <v>0</v>
      </c>
      <c r="G11">
        <f>IF($C11="faizan",IFERROR(INDEX('faizan grading'!$E:$Q,MATCH($A11&amp;"|"&amp;$B11,'faizan grading'!$S:$S,0),COLUMN()-3),""),IF($C11="romain",IFERROR(INDEX('romain grading'!$E:$Q,MATCH($A11&amp;"|"&amp;$B11,'romain grading'!$S:$S,0),COLUMN()-3),""),IF($C11="nishita",IFERROR(INDEX('nishita grading'!$E:$Q,MATCH($A11&amp;"|"&amp;$B11,'nishita grading'!$S:$S,0),COLUMN()-3),""),"")))</f>
        <v>0</v>
      </c>
      <c r="H11">
        <f>IF($C11="faizan",IFERROR(INDEX('faizan grading'!$E:$Q,MATCH($A11&amp;"|"&amp;$B11,'faizan grading'!$S:$S,0),COLUMN()-3),""),IF($C11="romain",IFERROR(INDEX('romain grading'!$E:$Q,MATCH($A11&amp;"|"&amp;$B11,'romain grading'!$S:$S,0),COLUMN()-3),""),IF($C11="nishita",IFERROR(INDEX('nishita grading'!$E:$Q,MATCH($A11&amp;"|"&amp;$B11,'nishita grading'!$S:$S,0),COLUMN()-3),""),"")))</f>
        <v>0</v>
      </c>
      <c r="I11">
        <f>IF($C11="faizan",IFERROR(INDEX('faizan grading'!$E:$Q,MATCH($A11&amp;"|"&amp;$B11,'faizan grading'!$S:$S,0),COLUMN()-3),""),IF($C11="romain",IFERROR(INDEX('romain grading'!$E:$Q,MATCH($A11&amp;"|"&amp;$B11,'romain grading'!$S:$S,0),COLUMN()-3),""),IF($C11="nishita",IFERROR(INDEX('nishita grading'!$E:$Q,MATCH($A11&amp;"|"&amp;$B11,'nishita grading'!$S:$S,0),COLUMN()-3),""),"")))</f>
        <v>0</v>
      </c>
      <c r="J11">
        <f>IF($C11="faizan",IFERROR(INDEX('faizan grading'!$E:$Q,MATCH($A11&amp;"|"&amp;$B11,'faizan grading'!$S:$S,0),COLUMN()-3),""),IF($C11="romain",IFERROR(INDEX('romain grading'!$E:$Q,MATCH($A11&amp;"|"&amp;$B11,'romain grading'!$S:$S,0),COLUMN()-3),""),IF($C11="nishita",IFERROR(INDEX('nishita grading'!$E:$Q,MATCH($A11&amp;"|"&amp;$B11,'nishita grading'!$S:$S,0),COLUMN()-3),""),"")))</f>
        <v>0</v>
      </c>
      <c r="K11">
        <f>IF($C11="faizan",IFERROR(INDEX('faizan grading'!$E:$Q,MATCH($A11&amp;"|"&amp;$B11,'faizan grading'!$S:$S,0),COLUMN()-3),""),IF($C11="romain",IFERROR(INDEX('romain grading'!$E:$Q,MATCH($A11&amp;"|"&amp;$B11,'romain grading'!$S:$S,0),COLUMN()-3),""),IF($C11="nishita",IFERROR(INDEX('nishita grading'!$E:$Q,MATCH($A11&amp;"|"&amp;$B11,'nishita grading'!$S:$S,0),COLUMN()-3),""),"")))</f>
        <v>0</v>
      </c>
      <c r="L11">
        <f>IF($C11="faizan",IFERROR(INDEX('faizan grading'!$E:$Q,MATCH($A11&amp;"|"&amp;$B11,'faizan grading'!$S:$S,0),COLUMN()-3),""),IF($C11="romain",IFERROR(INDEX('romain grading'!$E:$Q,MATCH($A11&amp;"|"&amp;$B11,'romain grading'!$S:$S,0),COLUMN()-3),""),IF($C11="nishita",IFERROR(INDEX('nishita grading'!$E:$Q,MATCH($A11&amp;"|"&amp;$B11,'nishita grading'!$S:$S,0),COLUMN()-3),""),"")))</f>
        <v>0</v>
      </c>
      <c r="M11">
        <f>IF($C11="faizan",IFERROR(INDEX('faizan grading'!$E:$Q,MATCH($A11&amp;"|"&amp;$B11,'faizan grading'!$S:$S,0),COLUMN()-3),""),IF($C11="romain",IFERROR(INDEX('romain grading'!$E:$Q,MATCH($A11&amp;"|"&amp;$B11,'romain grading'!$S:$S,0),COLUMN()-3),""),IF($C11="nishita",IFERROR(INDEX('nishita grading'!$E:$Q,MATCH($A11&amp;"|"&amp;$B11,'nishita grading'!$S:$S,0),COLUMN()-3),""),"")))</f>
        <v>0</v>
      </c>
      <c r="N11">
        <f>IF($C11="faizan",IFERROR(INDEX('faizan grading'!$E:$Q,MATCH($A11&amp;"|"&amp;$B11,'faizan grading'!$S:$S,0),COLUMN()-3),""),IF($C11="romain",IFERROR(INDEX('romain grading'!$E:$Q,MATCH($A11&amp;"|"&amp;$B11,'romain grading'!$S:$S,0),COLUMN()-3),""),IF($C11="nishita",IFERROR(INDEX('nishita grading'!$E:$Q,MATCH($A11&amp;"|"&amp;$B11,'nishita grading'!$S:$S,0),COLUMN()-3),""),"")))</f>
        <v>0</v>
      </c>
      <c r="O11">
        <f>IF($C11="faizan",IFERROR(INDEX('faizan grading'!$E:$Q,MATCH($A11&amp;"|"&amp;$B11,'faizan grading'!$S:$S,0),COLUMN()-3),""),IF($C11="romain",IFERROR(INDEX('romain grading'!$E:$Q,MATCH($A11&amp;"|"&amp;$B11,'romain grading'!$S:$S,0),COLUMN()-3),""),IF($C11="nishita",IFERROR(INDEX('nishita grading'!$E:$Q,MATCH($A11&amp;"|"&amp;$B11,'nishita grading'!$S:$S,0),COLUMN()-3),""),"")))</f>
        <v>0</v>
      </c>
      <c r="P11">
        <f>IF($C11="faizan",IFERROR(INDEX('faizan grading'!$E:$Q,MATCH($A11&amp;"|"&amp;$B11,'faizan grading'!$S:$S,0),COLUMN()-3),""),IF($C11="romain",IFERROR(INDEX('romain grading'!$E:$Q,MATCH($A11&amp;"|"&amp;$B11,'romain grading'!$S:$S,0),COLUMN()-3),""),IF($C11="nishita",IFERROR(INDEX('nishita grading'!$E:$Q,MATCH($A11&amp;"|"&amp;$B11,'nishita grading'!$S:$S,0),COLUMN()-3),""),"")))</f>
        <v>0</v>
      </c>
      <c r="Q11">
        <f t="shared" si="0"/>
        <v>42</v>
      </c>
      <c r="R11" t="str">
        <f t="shared" si="1"/>
        <v>clueless|0001</v>
      </c>
    </row>
    <row r="12" spans="1:18" x14ac:dyDescent="0.4">
      <c r="A12" t="s">
        <v>25</v>
      </c>
      <c r="B12" t="s">
        <v>19</v>
      </c>
      <c r="C12" t="s">
        <v>22</v>
      </c>
      <c r="D12">
        <f>IF($C12="faizan",IFERROR(INDEX('faizan grading'!$E:$Q,MATCH($A12&amp;"|"&amp;$B12,'faizan grading'!$S:$S,0),COLUMN()-3),""),IF($C12="romain",IFERROR(INDEX('romain grading'!$E:$Q,MATCH($A12&amp;"|"&amp;$B12,'romain grading'!$S:$S,0),COLUMN()-3),""),IF($C12="nishita",IFERROR(INDEX('nishita grading'!$E:$Q,MATCH($A12&amp;"|"&amp;$B12,'nishita grading'!$S:$S,0),COLUMN()-3),""),"")))</f>
        <v>0</v>
      </c>
      <c r="E12">
        <f>IF($C12="faizan",IFERROR(INDEX('faizan grading'!$E:$Q,MATCH($A12&amp;"|"&amp;$B12,'faizan grading'!$S:$S,0),COLUMN()-3),""),IF($C12="romain",IFERROR(INDEX('romain grading'!$E:$Q,MATCH($A12&amp;"|"&amp;$B12,'romain grading'!$S:$S,0),COLUMN()-3),""),IF($C12="nishita",IFERROR(INDEX('nishita grading'!$E:$Q,MATCH($A12&amp;"|"&amp;$B12,'nishita grading'!$S:$S,0),COLUMN()-3),""),"")))</f>
        <v>0</v>
      </c>
      <c r="F12">
        <f>IF($C12="faizan",IFERROR(INDEX('faizan grading'!$E:$Q,MATCH($A12&amp;"|"&amp;$B12,'faizan grading'!$S:$S,0),COLUMN()-3),""),IF($C12="romain",IFERROR(INDEX('romain grading'!$E:$Q,MATCH($A12&amp;"|"&amp;$B12,'romain grading'!$S:$S,0),COLUMN()-3),""),IF($C12="nishita",IFERROR(INDEX('nishita grading'!$E:$Q,MATCH($A12&amp;"|"&amp;$B12,'nishita grading'!$S:$S,0),COLUMN()-3),""),"")))</f>
        <v>0</v>
      </c>
      <c r="G12">
        <f>IF($C12="faizan",IFERROR(INDEX('faizan grading'!$E:$Q,MATCH($A12&amp;"|"&amp;$B12,'faizan grading'!$S:$S,0),COLUMN()-3),""),IF($C12="romain",IFERROR(INDEX('romain grading'!$E:$Q,MATCH($A12&amp;"|"&amp;$B12,'romain grading'!$S:$S,0),COLUMN()-3),""),IF($C12="nishita",IFERROR(INDEX('nishita grading'!$E:$Q,MATCH($A12&amp;"|"&amp;$B12,'nishita grading'!$S:$S,0),COLUMN()-3),""),"")))</f>
        <v>0</v>
      </c>
      <c r="H12">
        <f>IF($C12="faizan",IFERROR(INDEX('faizan grading'!$E:$Q,MATCH($A12&amp;"|"&amp;$B12,'faizan grading'!$S:$S,0),COLUMN()-3),""),IF($C12="romain",IFERROR(INDEX('romain grading'!$E:$Q,MATCH($A12&amp;"|"&amp;$B12,'romain grading'!$S:$S,0),COLUMN()-3),""),IF($C12="nishita",IFERROR(INDEX('nishita grading'!$E:$Q,MATCH($A12&amp;"|"&amp;$B12,'nishita grading'!$S:$S,0),COLUMN()-3),""),"")))</f>
        <v>0</v>
      </c>
      <c r="I12">
        <f>IF($C12="faizan",IFERROR(INDEX('faizan grading'!$E:$Q,MATCH($A12&amp;"|"&amp;$B12,'faizan grading'!$S:$S,0),COLUMN()-3),""),IF($C12="romain",IFERROR(INDEX('romain grading'!$E:$Q,MATCH($A12&amp;"|"&amp;$B12,'romain grading'!$S:$S,0),COLUMN()-3),""),IF($C12="nishita",IFERROR(INDEX('nishita grading'!$E:$Q,MATCH($A12&amp;"|"&amp;$B12,'nishita grading'!$S:$S,0),COLUMN()-3),""),"")))</f>
        <v>0</v>
      </c>
      <c r="J12">
        <f>IF($C12="faizan",IFERROR(INDEX('faizan grading'!$E:$Q,MATCH($A12&amp;"|"&amp;$B12,'faizan grading'!$S:$S,0),COLUMN()-3),""),IF($C12="romain",IFERROR(INDEX('romain grading'!$E:$Q,MATCH($A12&amp;"|"&amp;$B12,'romain grading'!$S:$S,0),COLUMN()-3),""),IF($C12="nishita",IFERROR(INDEX('nishita grading'!$E:$Q,MATCH($A12&amp;"|"&amp;$B12,'nishita grading'!$S:$S,0),COLUMN()-3),""),"")))</f>
        <v>0</v>
      </c>
      <c r="K12">
        <f>IF($C12="faizan",IFERROR(INDEX('faizan grading'!$E:$Q,MATCH($A12&amp;"|"&amp;$B12,'faizan grading'!$S:$S,0),COLUMN()-3),""),IF($C12="romain",IFERROR(INDEX('romain grading'!$E:$Q,MATCH($A12&amp;"|"&amp;$B12,'romain grading'!$S:$S,0),COLUMN()-3),""),IF($C12="nishita",IFERROR(INDEX('nishita grading'!$E:$Q,MATCH($A12&amp;"|"&amp;$B12,'nishita grading'!$S:$S,0),COLUMN()-3),""),"")))</f>
        <v>0</v>
      </c>
      <c r="L12">
        <f>IF($C12="faizan",IFERROR(INDEX('faizan grading'!$E:$Q,MATCH($A12&amp;"|"&amp;$B12,'faizan grading'!$S:$S,0),COLUMN()-3),""),IF($C12="romain",IFERROR(INDEX('romain grading'!$E:$Q,MATCH($A12&amp;"|"&amp;$B12,'romain grading'!$S:$S,0),COLUMN()-3),""),IF($C12="nishita",IFERROR(INDEX('nishita grading'!$E:$Q,MATCH($A12&amp;"|"&amp;$B12,'nishita grading'!$S:$S,0),COLUMN()-3),""),"")))</f>
        <v>0</v>
      </c>
      <c r="M12">
        <f>IF($C12="faizan",IFERROR(INDEX('faizan grading'!$E:$Q,MATCH($A12&amp;"|"&amp;$B12,'faizan grading'!$S:$S,0),COLUMN()-3),""),IF($C12="romain",IFERROR(INDEX('romain grading'!$E:$Q,MATCH($A12&amp;"|"&amp;$B12,'romain grading'!$S:$S,0),COLUMN()-3),""),IF($C12="nishita",IFERROR(INDEX('nishita grading'!$E:$Q,MATCH($A12&amp;"|"&amp;$B12,'nishita grading'!$S:$S,0),COLUMN()-3),""),"")))</f>
        <v>0</v>
      </c>
      <c r="N12">
        <f>IF($C12="faizan",IFERROR(INDEX('faizan grading'!$E:$Q,MATCH($A12&amp;"|"&amp;$B12,'faizan grading'!$S:$S,0),COLUMN()-3),""),IF($C12="romain",IFERROR(INDEX('romain grading'!$E:$Q,MATCH($A12&amp;"|"&amp;$B12,'romain grading'!$S:$S,0),COLUMN()-3),""),IF($C12="nishita",IFERROR(INDEX('nishita grading'!$E:$Q,MATCH($A12&amp;"|"&amp;$B12,'nishita grading'!$S:$S,0),COLUMN()-3),""),"")))</f>
        <v>0</v>
      </c>
      <c r="O12">
        <f>IF($C12="faizan",IFERROR(INDEX('faizan grading'!$E:$Q,MATCH($A12&amp;"|"&amp;$B12,'faizan grading'!$S:$S,0),COLUMN()-3),""),IF($C12="romain",IFERROR(INDEX('romain grading'!$E:$Q,MATCH($A12&amp;"|"&amp;$B12,'romain grading'!$S:$S,0),COLUMN()-3),""),IF($C12="nishita",IFERROR(INDEX('nishita grading'!$E:$Q,MATCH($A12&amp;"|"&amp;$B12,'nishita grading'!$S:$S,0),COLUMN()-3),""),"")))</f>
        <v>0</v>
      </c>
      <c r="P12">
        <f>IF($C12="faizan",IFERROR(INDEX('faizan grading'!$E:$Q,MATCH($A12&amp;"|"&amp;$B12,'faizan grading'!$S:$S,0),COLUMN()-3),""),IF($C12="romain",IFERROR(INDEX('romain grading'!$E:$Q,MATCH($A12&amp;"|"&amp;$B12,'romain grading'!$S:$S,0),COLUMN()-3),""),IF($C12="nishita",IFERROR(INDEX('nishita grading'!$E:$Q,MATCH($A12&amp;"|"&amp;$B12,'nishita grading'!$S:$S,0),COLUMN()-3),""),"")))</f>
        <v>0</v>
      </c>
      <c r="Q12">
        <f t="shared" si="0"/>
        <v>42</v>
      </c>
      <c r="R12" t="str">
        <f t="shared" si="1"/>
        <v>clueless|0001</v>
      </c>
    </row>
    <row r="13" spans="1:18" x14ac:dyDescent="0.4">
      <c r="A13" t="s">
        <v>25</v>
      </c>
      <c r="B13" t="s">
        <v>19</v>
      </c>
      <c r="C13" t="s">
        <v>23</v>
      </c>
      <c r="D13" t="str">
        <f>IF($C13="faizan",IFERROR(INDEX('faizan grading'!$E:$Q,MATCH($A13&amp;"|"&amp;$B13,'faizan grading'!$S:$S,0),COLUMN()-3),""),IF($C13="romain",IFERROR(INDEX('romain grading'!$E:$Q,MATCH($A13&amp;"|"&amp;$B13,'romain grading'!$S:$S,0),COLUMN()-3),""),IF($C13="nishita",IFERROR(INDEX('nishita grading'!$E:$Q,MATCH($A13&amp;"|"&amp;$B13,'nishita grading'!$S:$S,0),COLUMN()-3),""),"")))</f>
        <v/>
      </c>
      <c r="E13" t="str">
        <f>IF($C13="faizan",IFERROR(INDEX('faizan grading'!$E:$Q,MATCH($A13&amp;"|"&amp;$B13,'faizan grading'!$S:$S,0),COLUMN()-3),""),IF($C13="romain",IFERROR(INDEX('romain grading'!$E:$Q,MATCH($A13&amp;"|"&amp;$B13,'romain grading'!$S:$S,0),COLUMN()-3),""),IF($C13="nishita",IFERROR(INDEX('nishita grading'!$E:$Q,MATCH($A13&amp;"|"&amp;$B13,'nishita grading'!$S:$S,0),COLUMN()-3),""),"")))</f>
        <v/>
      </c>
      <c r="F13" t="str">
        <f>IF($C13="faizan",IFERROR(INDEX('faizan grading'!$E:$Q,MATCH($A13&amp;"|"&amp;$B13,'faizan grading'!$S:$S,0),COLUMN()-3),""),IF($C13="romain",IFERROR(INDEX('romain grading'!$E:$Q,MATCH($A13&amp;"|"&amp;$B13,'romain grading'!$S:$S,0),COLUMN()-3),""),IF($C13="nishita",IFERROR(INDEX('nishita grading'!$E:$Q,MATCH($A13&amp;"|"&amp;$B13,'nishita grading'!$S:$S,0),COLUMN()-3),""),"")))</f>
        <v/>
      </c>
      <c r="G13" t="str">
        <f>IF($C13="faizan",IFERROR(INDEX('faizan grading'!$E:$Q,MATCH($A13&amp;"|"&amp;$B13,'faizan grading'!$S:$S,0),COLUMN()-3),""),IF($C13="romain",IFERROR(INDEX('romain grading'!$E:$Q,MATCH($A13&amp;"|"&amp;$B13,'romain grading'!$S:$S,0),COLUMN()-3),""),IF($C13="nishita",IFERROR(INDEX('nishita grading'!$E:$Q,MATCH($A13&amp;"|"&amp;$B13,'nishita grading'!$S:$S,0),COLUMN()-3),""),"")))</f>
        <v/>
      </c>
      <c r="H13" t="str">
        <f>IF($C13="faizan",IFERROR(INDEX('faizan grading'!$E:$Q,MATCH($A13&amp;"|"&amp;$B13,'faizan grading'!$S:$S,0),COLUMN()-3),""),IF($C13="romain",IFERROR(INDEX('romain grading'!$E:$Q,MATCH($A13&amp;"|"&amp;$B13,'romain grading'!$S:$S,0),COLUMN()-3),""),IF($C13="nishita",IFERROR(INDEX('nishita grading'!$E:$Q,MATCH($A13&amp;"|"&amp;$B13,'nishita grading'!$S:$S,0),COLUMN()-3),""),"")))</f>
        <v/>
      </c>
      <c r="I13" t="str">
        <f>IF($C13="faizan",IFERROR(INDEX('faizan grading'!$E:$Q,MATCH($A13&amp;"|"&amp;$B13,'faizan grading'!$S:$S,0),COLUMN()-3),""),IF($C13="romain",IFERROR(INDEX('romain grading'!$E:$Q,MATCH($A13&amp;"|"&amp;$B13,'romain grading'!$S:$S,0),COLUMN()-3),""),IF($C13="nishita",IFERROR(INDEX('nishita grading'!$E:$Q,MATCH($A13&amp;"|"&amp;$B13,'nishita grading'!$S:$S,0),COLUMN()-3),""),"")))</f>
        <v/>
      </c>
      <c r="J13" t="str">
        <f>IF($C13="faizan",IFERROR(INDEX('faizan grading'!$E:$Q,MATCH($A13&amp;"|"&amp;$B13,'faizan grading'!$S:$S,0),COLUMN()-3),""),IF($C13="romain",IFERROR(INDEX('romain grading'!$E:$Q,MATCH($A13&amp;"|"&amp;$B13,'romain grading'!$S:$S,0),COLUMN()-3),""),IF($C13="nishita",IFERROR(INDEX('nishita grading'!$E:$Q,MATCH($A13&amp;"|"&amp;$B13,'nishita grading'!$S:$S,0),COLUMN()-3),""),"")))</f>
        <v/>
      </c>
      <c r="K13" t="str">
        <f>IF($C13="faizan",IFERROR(INDEX('faizan grading'!$E:$Q,MATCH($A13&amp;"|"&amp;$B13,'faizan grading'!$S:$S,0),COLUMN()-3),""),IF($C13="romain",IFERROR(INDEX('romain grading'!$E:$Q,MATCH($A13&amp;"|"&amp;$B13,'romain grading'!$S:$S,0),COLUMN()-3),""),IF($C13="nishita",IFERROR(INDEX('nishita grading'!$E:$Q,MATCH($A13&amp;"|"&amp;$B13,'nishita grading'!$S:$S,0),COLUMN()-3),""),"")))</f>
        <v/>
      </c>
      <c r="L13" t="str">
        <f>IF($C13="faizan",IFERROR(INDEX('faizan grading'!$E:$Q,MATCH($A13&amp;"|"&amp;$B13,'faizan grading'!$S:$S,0),COLUMN()-3),""),IF($C13="romain",IFERROR(INDEX('romain grading'!$E:$Q,MATCH($A13&amp;"|"&amp;$B13,'romain grading'!$S:$S,0),COLUMN()-3),""),IF($C13="nishita",IFERROR(INDEX('nishita grading'!$E:$Q,MATCH($A13&amp;"|"&amp;$B13,'nishita grading'!$S:$S,0),COLUMN()-3),""),"")))</f>
        <v/>
      </c>
      <c r="M13" t="str">
        <f>IF($C13="faizan",IFERROR(INDEX('faizan grading'!$E:$Q,MATCH($A13&amp;"|"&amp;$B13,'faizan grading'!$S:$S,0),COLUMN()-3),""),IF($C13="romain",IFERROR(INDEX('romain grading'!$E:$Q,MATCH($A13&amp;"|"&amp;$B13,'romain grading'!$S:$S,0),COLUMN()-3),""),IF($C13="nishita",IFERROR(INDEX('nishita grading'!$E:$Q,MATCH($A13&amp;"|"&amp;$B13,'nishita grading'!$S:$S,0),COLUMN()-3),""),"")))</f>
        <v/>
      </c>
      <c r="N13" t="str">
        <f>IF($C13="faizan",IFERROR(INDEX('faizan grading'!$E:$Q,MATCH($A13&amp;"|"&amp;$B13,'faizan grading'!$S:$S,0),COLUMN()-3),""),IF($C13="romain",IFERROR(INDEX('romain grading'!$E:$Q,MATCH($A13&amp;"|"&amp;$B13,'romain grading'!$S:$S,0),COLUMN()-3),""),IF($C13="nishita",IFERROR(INDEX('nishita grading'!$E:$Q,MATCH($A13&amp;"|"&amp;$B13,'nishita grading'!$S:$S,0),COLUMN()-3),""),"")))</f>
        <v/>
      </c>
      <c r="O13" t="str">
        <f>IF($C13="faizan",IFERROR(INDEX('faizan grading'!$E:$Q,MATCH($A13&amp;"|"&amp;$B13,'faizan grading'!$S:$S,0),COLUMN()-3),""),IF($C13="romain",IFERROR(INDEX('romain grading'!$E:$Q,MATCH($A13&amp;"|"&amp;$B13,'romain grading'!$S:$S,0),COLUMN()-3),""),IF($C13="nishita",IFERROR(INDEX('nishita grading'!$E:$Q,MATCH($A13&amp;"|"&amp;$B13,'nishita grading'!$S:$S,0),COLUMN()-3),""),"")))</f>
        <v/>
      </c>
      <c r="P13" t="str">
        <f>IF($C13="faizan",IFERROR(INDEX('faizan grading'!$E:$Q,MATCH($A13&amp;"|"&amp;$B13,'faizan grading'!$S:$S,0),COLUMN()-3),""),IF($C13="romain",IFERROR(INDEX('romain grading'!$E:$Q,MATCH($A13&amp;"|"&amp;$B13,'romain grading'!$S:$S,0),COLUMN()-3),""),IF($C13="nishita",IFERROR(INDEX('nishita grading'!$E:$Q,MATCH($A13&amp;"|"&amp;$B13,'nishita grading'!$S:$S,0),COLUMN()-3),""),"")))</f>
        <v/>
      </c>
      <c r="Q13">
        <f t="shared" si="0"/>
        <v>42</v>
      </c>
      <c r="R13" t="str">
        <f t="shared" si="1"/>
        <v>clueless|0001</v>
      </c>
    </row>
    <row r="14" spans="1:18" x14ac:dyDescent="0.4">
      <c r="A14" t="s">
        <v>25</v>
      </c>
      <c r="B14" t="s">
        <v>24</v>
      </c>
      <c r="C14" t="s">
        <v>20</v>
      </c>
      <c r="D14">
        <f>IF($C14="faizan",IFERROR(INDEX('faizan grading'!$E:$Q,MATCH($A14&amp;"|"&amp;$B14,'faizan grading'!$S:$S,0),COLUMN()-3),""),IF($C14="romain",IFERROR(INDEX('romain grading'!$E:$Q,MATCH($A14&amp;"|"&amp;$B14,'romain grading'!$S:$S,0),COLUMN()-3),""),IF($C14="nishita",IFERROR(INDEX('nishita grading'!$E:$Q,MATCH($A14&amp;"|"&amp;$B14,'nishita grading'!$S:$S,0),COLUMN()-3),""),"")))</f>
        <v>0</v>
      </c>
      <c r="E14">
        <f>IF($C14="faizan",IFERROR(INDEX('faizan grading'!$E:$Q,MATCH($A14&amp;"|"&amp;$B14,'faizan grading'!$S:$S,0),COLUMN()-3),""),IF($C14="romain",IFERROR(INDEX('romain grading'!$E:$Q,MATCH($A14&amp;"|"&amp;$B14,'romain grading'!$S:$S,0),COLUMN()-3),""),IF($C14="nishita",IFERROR(INDEX('nishita grading'!$E:$Q,MATCH($A14&amp;"|"&amp;$B14,'nishita grading'!$S:$S,0),COLUMN()-3),""),"")))</f>
        <v>0</v>
      </c>
      <c r="F14">
        <f>IF($C14="faizan",IFERROR(INDEX('faizan grading'!$E:$Q,MATCH($A14&amp;"|"&amp;$B14,'faizan grading'!$S:$S,0),COLUMN()-3),""),IF($C14="romain",IFERROR(INDEX('romain grading'!$E:$Q,MATCH($A14&amp;"|"&amp;$B14,'romain grading'!$S:$S,0),COLUMN()-3),""),IF($C14="nishita",IFERROR(INDEX('nishita grading'!$E:$Q,MATCH($A14&amp;"|"&amp;$B14,'nishita grading'!$S:$S,0),COLUMN()-3),""),"")))</f>
        <v>0</v>
      </c>
      <c r="G14">
        <f>IF($C14="faizan",IFERROR(INDEX('faizan grading'!$E:$Q,MATCH($A14&amp;"|"&amp;$B14,'faizan grading'!$S:$S,0),COLUMN()-3),""),IF($C14="romain",IFERROR(INDEX('romain grading'!$E:$Q,MATCH($A14&amp;"|"&amp;$B14,'romain grading'!$S:$S,0),COLUMN()-3),""),IF($C14="nishita",IFERROR(INDEX('nishita grading'!$E:$Q,MATCH($A14&amp;"|"&amp;$B14,'nishita grading'!$S:$S,0),COLUMN()-3),""),"")))</f>
        <v>0</v>
      </c>
      <c r="H14">
        <f>IF($C14="faizan",IFERROR(INDEX('faizan grading'!$E:$Q,MATCH($A14&amp;"|"&amp;$B14,'faizan grading'!$S:$S,0),COLUMN()-3),""),IF($C14="romain",IFERROR(INDEX('romain grading'!$E:$Q,MATCH($A14&amp;"|"&amp;$B14,'romain grading'!$S:$S,0),COLUMN()-3),""),IF($C14="nishita",IFERROR(INDEX('nishita grading'!$E:$Q,MATCH($A14&amp;"|"&amp;$B14,'nishita grading'!$S:$S,0),COLUMN()-3),""),"")))</f>
        <v>0</v>
      </c>
      <c r="I14">
        <f>IF($C14="faizan",IFERROR(INDEX('faizan grading'!$E:$Q,MATCH($A14&amp;"|"&amp;$B14,'faizan grading'!$S:$S,0),COLUMN()-3),""),IF($C14="romain",IFERROR(INDEX('romain grading'!$E:$Q,MATCH($A14&amp;"|"&amp;$B14,'romain grading'!$S:$S,0),COLUMN()-3),""),IF($C14="nishita",IFERROR(INDEX('nishita grading'!$E:$Q,MATCH($A14&amp;"|"&amp;$B14,'nishita grading'!$S:$S,0),COLUMN()-3),""),"")))</f>
        <v>0</v>
      </c>
      <c r="J14">
        <f>IF($C14="faizan",IFERROR(INDEX('faizan grading'!$E:$Q,MATCH($A14&amp;"|"&amp;$B14,'faizan grading'!$S:$S,0),COLUMN()-3),""),IF($C14="romain",IFERROR(INDEX('romain grading'!$E:$Q,MATCH($A14&amp;"|"&amp;$B14,'romain grading'!$S:$S,0),COLUMN()-3),""),IF($C14="nishita",IFERROR(INDEX('nishita grading'!$E:$Q,MATCH($A14&amp;"|"&amp;$B14,'nishita grading'!$S:$S,0),COLUMN()-3),""),"")))</f>
        <v>0</v>
      </c>
      <c r="K14">
        <f>IF($C14="faizan",IFERROR(INDEX('faizan grading'!$E:$Q,MATCH($A14&amp;"|"&amp;$B14,'faizan grading'!$S:$S,0),COLUMN()-3),""),IF($C14="romain",IFERROR(INDEX('romain grading'!$E:$Q,MATCH($A14&amp;"|"&amp;$B14,'romain grading'!$S:$S,0),COLUMN()-3),""),IF($C14="nishita",IFERROR(INDEX('nishita grading'!$E:$Q,MATCH($A14&amp;"|"&amp;$B14,'nishita grading'!$S:$S,0),COLUMN()-3),""),"")))</f>
        <v>0</v>
      </c>
      <c r="L14">
        <f>IF($C14="faizan",IFERROR(INDEX('faizan grading'!$E:$Q,MATCH($A14&amp;"|"&amp;$B14,'faizan grading'!$S:$S,0),COLUMN()-3),""),IF($C14="romain",IFERROR(INDEX('romain grading'!$E:$Q,MATCH($A14&amp;"|"&amp;$B14,'romain grading'!$S:$S,0),COLUMN()-3),""),IF($C14="nishita",IFERROR(INDEX('nishita grading'!$E:$Q,MATCH($A14&amp;"|"&amp;$B14,'nishita grading'!$S:$S,0),COLUMN()-3),""),"")))</f>
        <v>0</v>
      </c>
      <c r="M14">
        <f>IF($C14="faizan",IFERROR(INDEX('faizan grading'!$E:$Q,MATCH($A14&amp;"|"&amp;$B14,'faizan grading'!$S:$S,0),COLUMN()-3),""),IF($C14="romain",IFERROR(INDEX('romain grading'!$E:$Q,MATCH($A14&amp;"|"&amp;$B14,'romain grading'!$S:$S,0),COLUMN()-3),""),IF($C14="nishita",IFERROR(INDEX('nishita grading'!$E:$Q,MATCH($A14&amp;"|"&amp;$B14,'nishita grading'!$S:$S,0),COLUMN()-3),""),"")))</f>
        <v>0</v>
      </c>
      <c r="N14">
        <f>IF($C14="faizan",IFERROR(INDEX('faizan grading'!$E:$Q,MATCH($A14&amp;"|"&amp;$B14,'faizan grading'!$S:$S,0),COLUMN()-3),""),IF($C14="romain",IFERROR(INDEX('romain grading'!$E:$Q,MATCH($A14&amp;"|"&amp;$B14,'romain grading'!$S:$S,0),COLUMN()-3),""),IF($C14="nishita",IFERROR(INDEX('nishita grading'!$E:$Q,MATCH($A14&amp;"|"&amp;$B14,'nishita grading'!$S:$S,0),COLUMN()-3),""),"")))</f>
        <v>0</v>
      </c>
      <c r="O14">
        <f>IF($C14="faizan",IFERROR(INDEX('faizan grading'!$E:$Q,MATCH($A14&amp;"|"&amp;$B14,'faizan grading'!$S:$S,0),COLUMN()-3),""),IF($C14="romain",IFERROR(INDEX('romain grading'!$E:$Q,MATCH($A14&amp;"|"&amp;$B14,'romain grading'!$S:$S,0),COLUMN()-3),""),IF($C14="nishita",IFERROR(INDEX('nishita grading'!$E:$Q,MATCH($A14&amp;"|"&amp;$B14,'nishita grading'!$S:$S,0),COLUMN()-3),""),"")))</f>
        <v>0</v>
      </c>
      <c r="P14">
        <f>IF($C14="faizan",IFERROR(INDEX('faizan grading'!$E:$Q,MATCH($A14&amp;"|"&amp;$B14,'faizan grading'!$S:$S,0),COLUMN()-3),""),IF($C14="romain",IFERROR(INDEX('romain grading'!$E:$Q,MATCH($A14&amp;"|"&amp;$B14,'romain grading'!$S:$S,0),COLUMN()-3),""),IF($C14="nishita",IFERROR(INDEX('nishita grading'!$E:$Q,MATCH($A14&amp;"|"&amp;$B14,'nishita grading'!$S:$S,0),COLUMN()-3),""),"")))</f>
        <v>0</v>
      </c>
      <c r="Q14">
        <f t="shared" si="0"/>
        <v>42</v>
      </c>
      <c r="R14" t="str">
        <f t="shared" si="1"/>
        <v>clueless|0002</v>
      </c>
    </row>
    <row r="15" spans="1:18" x14ac:dyDescent="0.4">
      <c r="A15" t="s">
        <v>25</v>
      </c>
      <c r="B15" t="s">
        <v>24</v>
      </c>
      <c r="C15" t="s">
        <v>21</v>
      </c>
      <c r="D15">
        <f>IF($C15="faizan",IFERROR(INDEX('faizan grading'!$E:$Q,MATCH($A15&amp;"|"&amp;$B15,'faizan grading'!$S:$S,0),COLUMN()-3),""),IF($C15="romain",IFERROR(INDEX('romain grading'!$E:$Q,MATCH($A15&amp;"|"&amp;$B15,'romain grading'!$S:$S,0),COLUMN()-3),""),IF($C15="nishita",IFERROR(INDEX('nishita grading'!$E:$Q,MATCH($A15&amp;"|"&amp;$B15,'nishita grading'!$S:$S,0),COLUMN()-3),""),"")))</f>
        <v>0</v>
      </c>
      <c r="E15">
        <f>IF($C15="faizan",IFERROR(INDEX('faizan grading'!$E:$Q,MATCH($A15&amp;"|"&amp;$B15,'faizan grading'!$S:$S,0),COLUMN()-3),""),IF($C15="romain",IFERROR(INDEX('romain grading'!$E:$Q,MATCH($A15&amp;"|"&amp;$B15,'romain grading'!$S:$S,0),COLUMN()-3),""),IF($C15="nishita",IFERROR(INDEX('nishita grading'!$E:$Q,MATCH($A15&amp;"|"&amp;$B15,'nishita grading'!$S:$S,0),COLUMN()-3),""),"")))</f>
        <v>0</v>
      </c>
      <c r="F15">
        <f>IF($C15="faizan",IFERROR(INDEX('faizan grading'!$E:$Q,MATCH($A15&amp;"|"&amp;$B15,'faizan grading'!$S:$S,0),COLUMN()-3),""),IF($C15="romain",IFERROR(INDEX('romain grading'!$E:$Q,MATCH($A15&amp;"|"&amp;$B15,'romain grading'!$S:$S,0),COLUMN()-3),""),IF($C15="nishita",IFERROR(INDEX('nishita grading'!$E:$Q,MATCH($A15&amp;"|"&amp;$B15,'nishita grading'!$S:$S,0),COLUMN()-3),""),"")))</f>
        <v>0</v>
      </c>
      <c r="G15">
        <f>IF($C15="faizan",IFERROR(INDEX('faizan grading'!$E:$Q,MATCH($A15&amp;"|"&amp;$B15,'faizan grading'!$S:$S,0),COLUMN()-3),""),IF($C15="romain",IFERROR(INDEX('romain grading'!$E:$Q,MATCH($A15&amp;"|"&amp;$B15,'romain grading'!$S:$S,0),COLUMN()-3),""),IF($C15="nishita",IFERROR(INDEX('nishita grading'!$E:$Q,MATCH($A15&amp;"|"&amp;$B15,'nishita grading'!$S:$S,0),COLUMN()-3),""),"")))</f>
        <v>0</v>
      </c>
      <c r="H15">
        <f>IF($C15="faizan",IFERROR(INDEX('faizan grading'!$E:$Q,MATCH($A15&amp;"|"&amp;$B15,'faizan grading'!$S:$S,0),COLUMN()-3),""),IF($C15="romain",IFERROR(INDEX('romain grading'!$E:$Q,MATCH($A15&amp;"|"&amp;$B15,'romain grading'!$S:$S,0),COLUMN()-3),""),IF($C15="nishita",IFERROR(INDEX('nishita grading'!$E:$Q,MATCH($A15&amp;"|"&amp;$B15,'nishita grading'!$S:$S,0),COLUMN()-3),""),"")))</f>
        <v>0</v>
      </c>
      <c r="I15">
        <f>IF($C15="faizan",IFERROR(INDEX('faizan grading'!$E:$Q,MATCH($A15&amp;"|"&amp;$B15,'faizan grading'!$S:$S,0),COLUMN()-3),""),IF($C15="romain",IFERROR(INDEX('romain grading'!$E:$Q,MATCH($A15&amp;"|"&amp;$B15,'romain grading'!$S:$S,0),COLUMN()-3),""),IF($C15="nishita",IFERROR(INDEX('nishita grading'!$E:$Q,MATCH($A15&amp;"|"&amp;$B15,'nishita grading'!$S:$S,0),COLUMN()-3),""),"")))</f>
        <v>0</v>
      </c>
      <c r="J15">
        <f>IF($C15="faizan",IFERROR(INDEX('faizan grading'!$E:$Q,MATCH($A15&amp;"|"&amp;$B15,'faizan grading'!$S:$S,0),COLUMN()-3),""),IF($C15="romain",IFERROR(INDEX('romain grading'!$E:$Q,MATCH($A15&amp;"|"&amp;$B15,'romain grading'!$S:$S,0),COLUMN()-3),""),IF($C15="nishita",IFERROR(INDEX('nishita grading'!$E:$Q,MATCH($A15&amp;"|"&amp;$B15,'nishita grading'!$S:$S,0),COLUMN()-3),""),"")))</f>
        <v>0</v>
      </c>
      <c r="K15">
        <f>IF($C15="faizan",IFERROR(INDEX('faizan grading'!$E:$Q,MATCH($A15&amp;"|"&amp;$B15,'faizan grading'!$S:$S,0),COLUMN()-3),""),IF($C15="romain",IFERROR(INDEX('romain grading'!$E:$Q,MATCH($A15&amp;"|"&amp;$B15,'romain grading'!$S:$S,0),COLUMN()-3),""),IF($C15="nishita",IFERROR(INDEX('nishita grading'!$E:$Q,MATCH($A15&amp;"|"&amp;$B15,'nishita grading'!$S:$S,0),COLUMN()-3),""),"")))</f>
        <v>0</v>
      </c>
      <c r="L15">
        <f>IF($C15="faizan",IFERROR(INDEX('faizan grading'!$E:$Q,MATCH($A15&amp;"|"&amp;$B15,'faizan grading'!$S:$S,0),COLUMN()-3),""),IF($C15="romain",IFERROR(INDEX('romain grading'!$E:$Q,MATCH($A15&amp;"|"&amp;$B15,'romain grading'!$S:$S,0),COLUMN()-3),""),IF($C15="nishita",IFERROR(INDEX('nishita grading'!$E:$Q,MATCH($A15&amp;"|"&amp;$B15,'nishita grading'!$S:$S,0),COLUMN()-3),""),"")))</f>
        <v>0</v>
      </c>
      <c r="M15">
        <f>IF($C15="faizan",IFERROR(INDEX('faizan grading'!$E:$Q,MATCH($A15&amp;"|"&amp;$B15,'faizan grading'!$S:$S,0),COLUMN()-3),""),IF($C15="romain",IFERROR(INDEX('romain grading'!$E:$Q,MATCH($A15&amp;"|"&amp;$B15,'romain grading'!$S:$S,0),COLUMN()-3),""),IF($C15="nishita",IFERROR(INDEX('nishita grading'!$E:$Q,MATCH($A15&amp;"|"&amp;$B15,'nishita grading'!$S:$S,0),COLUMN()-3),""),"")))</f>
        <v>0</v>
      </c>
      <c r="N15">
        <f>IF($C15="faizan",IFERROR(INDEX('faizan grading'!$E:$Q,MATCH($A15&amp;"|"&amp;$B15,'faizan grading'!$S:$S,0),COLUMN()-3),""),IF($C15="romain",IFERROR(INDEX('romain grading'!$E:$Q,MATCH($A15&amp;"|"&amp;$B15,'romain grading'!$S:$S,0),COLUMN()-3),""),IF($C15="nishita",IFERROR(INDEX('nishita grading'!$E:$Q,MATCH($A15&amp;"|"&amp;$B15,'nishita grading'!$S:$S,0),COLUMN()-3),""),"")))</f>
        <v>0</v>
      </c>
      <c r="O15">
        <f>IF($C15="faizan",IFERROR(INDEX('faizan grading'!$E:$Q,MATCH($A15&amp;"|"&amp;$B15,'faizan grading'!$S:$S,0),COLUMN()-3),""),IF($C15="romain",IFERROR(INDEX('romain grading'!$E:$Q,MATCH($A15&amp;"|"&amp;$B15,'romain grading'!$S:$S,0),COLUMN()-3),""),IF($C15="nishita",IFERROR(INDEX('nishita grading'!$E:$Q,MATCH($A15&amp;"|"&amp;$B15,'nishita grading'!$S:$S,0),COLUMN()-3),""),"")))</f>
        <v>0</v>
      </c>
      <c r="P15">
        <f>IF($C15="faizan",IFERROR(INDEX('faizan grading'!$E:$Q,MATCH($A15&amp;"|"&amp;$B15,'faizan grading'!$S:$S,0),COLUMN()-3),""),IF($C15="romain",IFERROR(INDEX('romain grading'!$E:$Q,MATCH($A15&amp;"|"&amp;$B15,'romain grading'!$S:$S,0),COLUMN()-3),""),IF($C15="nishita",IFERROR(INDEX('nishita grading'!$E:$Q,MATCH($A15&amp;"|"&amp;$B15,'nishita grading'!$S:$S,0),COLUMN()-3),""),"")))</f>
        <v>0</v>
      </c>
      <c r="Q15">
        <f t="shared" si="0"/>
        <v>42</v>
      </c>
      <c r="R15" t="str">
        <f t="shared" si="1"/>
        <v>clueless|0002</v>
      </c>
    </row>
    <row r="16" spans="1:18" x14ac:dyDescent="0.4">
      <c r="A16" t="s">
        <v>25</v>
      </c>
      <c r="B16" t="s">
        <v>24</v>
      </c>
      <c r="C16" t="s">
        <v>22</v>
      </c>
      <c r="D16">
        <f>IF($C16="faizan",IFERROR(INDEX('faizan grading'!$E:$Q,MATCH($A16&amp;"|"&amp;$B16,'faizan grading'!$S:$S,0),COLUMN()-3),""),IF($C16="romain",IFERROR(INDEX('romain grading'!$E:$Q,MATCH($A16&amp;"|"&amp;$B16,'romain grading'!$S:$S,0),COLUMN()-3),""),IF($C16="nishita",IFERROR(INDEX('nishita grading'!$E:$Q,MATCH($A16&amp;"|"&amp;$B16,'nishita grading'!$S:$S,0),COLUMN()-3),""),"")))</f>
        <v>0</v>
      </c>
      <c r="E16">
        <f>IF($C16="faizan",IFERROR(INDEX('faizan grading'!$E:$Q,MATCH($A16&amp;"|"&amp;$B16,'faizan grading'!$S:$S,0),COLUMN()-3),""),IF($C16="romain",IFERROR(INDEX('romain grading'!$E:$Q,MATCH($A16&amp;"|"&amp;$B16,'romain grading'!$S:$S,0),COLUMN()-3),""),IF($C16="nishita",IFERROR(INDEX('nishita grading'!$E:$Q,MATCH($A16&amp;"|"&amp;$B16,'nishita grading'!$S:$S,0),COLUMN()-3),""),"")))</f>
        <v>0</v>
      </c>
      <c r="F16">
        <f>IF($C16="faizan",IFERROR(INDEX('faizan grading'!$E:$Q,MATCH($A16&amp;"|"&amp;$B16,'faizan grading'!$S:$S,0),COLUMN()-3),""),IF($C16="romain",IFERROR(INDEX('romain grading'!$E:$Q,MATCH($A16&amp;"|"&amp;$B16,'romain grading'!$S:$S,0),COLUMN()-3),""),IF($C16="nishita",IFERROR(INDEX('nishita grading'!$E:$Q,MATCH($A16&amp;"|"&amp;$B16,'nishita grading'!$S:$S,0),COLUMN()-3),""),"")))</f>
        <v>0</v>
      </c>
      <c r="G16">
        <f>IF($C16="faizan",IFERROR(INDEX('faizan grading'!$E:$Q,MATCH($A16&amp;"|"&amp;$B16,'faizan grading'!$S:$S,0),COLUMN()-3),""),IF($C16="romain",IFERROR(INDEX('romain grading'!$E:$Q,MATCH($A16&amp;"|"&amp;$B16,'romain grading'!$S:$S,0),COLUMN()-3),""),IF($C16="nishita",IFERROR(INDEX('nishita grading'!$E:$Q,MATCH($A16&amp;"|"&amp;$B16,'nishita grading'!$S:$S,0),COLUMN()-3),""),"")))</f>
        <v>0</v>
      </c>
      <c r="H16">
        <f>IF($C16="faizan",IFERROR(INDEX('faizan grading'!$E:$Q,MATCH($A16&amp;"|"&amp;$B16,'faizan grading'!$S:$S,0),COLUMN()-3),""),IF($C16="romain",IFERROR(INDEX('romain grading'!$E:$Q,MATCH($A16&amp;"|"&amp;$B16,'romain grading'!$S:$S,0),COLUMN()-3),""),IF($C16="nishita",IFERROR(INDEX('nishita grading'!$E:$Q,MATCH($A16&amp;"|"&amp;$B16,'nishita grading'!$S:$S,0),COLUMN()-3),""),"")))</f>
        <v>0</v>
      </c>
      <c r="I16">
        <f>IF($C16="faizan",IFERROR(INDEX('faizan grading'!$E:$Q,MATCH($A16&amp;"|"&amp;$B16,'faizan grading'!$S:$S,0),COLUMN()-3),""),IF($C16="romain",IFERROR(INDEX('romain grading'!$E:$Q,MATCH($A16&amp;"|"&amp;$B16,'romain grading'!$S:$S,0),COLUMN()-3),""),IF($C16="nishita",IFERROR(INDEX('nishita grading'!$E:$Q,MATCH($A16&amp;"|"&amp;$B16,'nishita grading'!$S:$S,0),COLUMN()-3),""),"")))</f>
        <v>0</v>
      </c>
      <c r="J16">
        <f>IF($C16="faizan",IFERROR(INDEX('faizan grading'!$E:$Q,MATCH($A16&amp;"|"&amp;$B16,'faizan grading'!$S:$S,0),COLUMN()-3),""),IF($C16="romain",IFERROR(INDEX('romain grading'!$E:$Q,MATCH($A16&amp;"|"&amp;$B16,'romain grading'!$S:$S,0),COLUMN()-3),""),IF($C16="nishita",IFERROR(INDEX('nishita grading'!$E:$Q,MATCH($A16&amp;"|"&amp;$B16,'nishita grading'!$S:$S,0),COLUMN()-3),""),"")))</f>
        <v>0</v>
      </c>
      <c r="K16">
        <f>IF($C16="faizan",IFERROR(INDEX('faizan grading'!$E:$Q,MATCH($A16&amp;"|"&amp;$B16,'faizan grading'!$S:$S,0),COLUMN()-3),""),IF($C16="romain",IFERROR(INDEX('romain grading'!$E:$Q,MATCH($A16&amp;"|"&amp;$B16,'romain grading'!$S:$S,0),COLUMN()-3),""),IF($C16="nishita",IFERROR(INDEX('nishita grading'!$E:$Q,MATCH($A16&amp;"|"&amp;$B16,'nishita grading'!$S:$S,0),COLUMN()-3),""),"")))</f>
        <v>0</v>
      </c>
      <c r="L16">
        <f>IF($C16="faizan",IFERROR(INDEX('faizan grading'!$E:$Q,MATCH($A16&amp;"|"&amp;$B16,'faizan grading'!$S:$S,0),COLUMN()-3),""),IF($C16="romain",IFERROR(INDEX('romain grading'!$E:$Q,MATCH($A16&amp;"|"&amp;$B16,'romain grading'!$S:$S,0),COLUMN()-3),""),IF($C16="nishita",IFERROR(INDEX('nishita grading'!$E:$Q,MATCH($A16&amp;"|"&amp;$B16,'nishita grading'!$S:$S,0),COLUMN()-3),""),"")))</f>
        <v>0</v>
      </c>
      <c r="M16">
        <f>IF($C16="faizan",IFERROR(INDEX('faizan grading'!$E:$Q,MATCH($A16&amp;"|"&amp;$B16,'faizan grading'!$S:$S,0),COLUMN()-3),""),IF($C16="romain",IFERROR(INDEX('romain grading'!$E:$Q,MATCH($A16&amp;"|"&amp;$B16,'romain grading'!$S:$S,0),COLUMN()-3),""),IF($C16="nishita",IFERROR(INDEX('nishita grading'!$E:$Q,MATCH($A16&amp;"|"&amp;$B16,'nishita grading'!$S:$S,0),COLUMN()-3),""),"")))</f>
        <v>0</v>
      </c>
      <c r="N16">
        <f>IF($C16="faizan",IFERROR(INDEX('faizan grading'!$E:$Q,MATCH($A16&amp;"|"&amp;$B16,'faizan grading'!$S:$S,0),COLUMN()-3),""),IF($C16="romain",IFERROR(INDEX('romain grading'!$E:$Q,MATCH($A16&amp;"|"&amp;$B16,'romain grading'!$S:$S,0),COLUMN()-3),""),IF($C16="nishita",IFERROR(INDEX('nishita grading'!$E:$Q,MATCH($A16&amp;"|"&amp;$B16,'nishita grading'!$S:$S,0),COLUMN()-3),""),"")))</f>
        <v>0</v>
      </c>
      <c r="O16">
        <f>IF($C16="faizan",IFERROR(INDEX('faizan grading'!$E:$Q,MATCH($A16&amp;"|"&amp;$B16,'faizan grading'!$S:$S,0),COLUMN()-3),""),IF($C16="romain",IFERROR(INDEX('romain grading'!$E:$Q,MATCH($A16&amp;"|"&amp;$B16,'romain grading'!$S:$S,0),COLUMN()-3),""),IF($C16="nishita",IFERROR(INDEX('nishita grading'!$E:$Q,MATCH($A16&amp;"|"&amp;$B16,'nishita grading'!$S:$S,0),COLUMN()-3),""),"")))</f>
        <v>0</v>
      </c>
      <c r="P16">
        <f>IF($C16="faizan",IFERROR(INDEX('faizan grading'!$E:$Q,MATCH($A16&amp;"|"&amp;$B16,'faizan grading'!$S:$S,0),COLUMN()-3),""),IF($C16="romain",IFERROR(INDEX('romain grading'!$E:$Q,MATCH($A16&amp;"|"&amp;$B16,'romain grading'!$S:$S,0),COLUMN()-3),""),IF($C16="nishita",IFERROR(INDEX('nishita grading'!$E:$Q,MATCH($A16&amp;"|"&amp;$B16,'nishita grading'!$S:$S,0),COLUMN()-3),""),"")))</f>
        <v>0</v>
      </c>
      <c r="Q16">
        <f t="shared" si="0"/>
        <v>42</v>
      </c>
      <c r="R16" t="str">
        <f t="shared" si="1"/>
        <v>clueless|0002</v>
      </c>
    </row>
    <row r="17" spans="1:18" x14ac:dyDescent="0.4">
      <c r="A17" t="s">
        <v>25</v>
      </c>
      <c r="B17" t="s">
        <v>24</v>
      </c>
      <c r="C17" t="s">
        <v>23</v>
      </c>
      <c r="D17" t="str">
        <f>IF($C17="faizan",IFERROR(INDEX('faizan grading'!$E:$Q,MATCH($A17&amp;"|"&amp;$B17,'faizan grading'!$S:$S,0),COLUMN()-3),""),IF($C17="romain",IFERROR(INDEX('romain grading'!$E:$Q,MATCH($A17&amp;"|"&amp;$B17,'romain grading'!$S:$S,0),COLUMN()-3),""),IF($C17="nishita",IFERROR(INDEX('nishita grading'!$E:$Q,MATCH($A17&amp;"|"&amp;$B17,'nishita grading'!$S:$S,0),COLUMN()-3),""),"")))</f>
        <v/>
      </c>
      <c r="E17" t="str">
        <f>IF($C17="faizan",IFERROR(INDEX('faizan grading'!$E:$Q,MATCH($A17&amp;"|"&amp;$B17,'faizan grading'!$S:$S,0),COLUMN()-3),""),IF($C17="romain",IFERROR(INDEX('romain grading'!$E:$Q,MATCH($A17&amp;"|"&amp;$B17,'romain grading'!$S:$S,0),COLUMN()-3),""),IF($C17="nishita",IFERROR(INDEX('nishita grading'!$E:$Q,MATCH($A17&amp;"|"&amp;$B17,'nishita grading'!$S:$S,0),COLUMN()-3),""),"")))</f>
        <v/>
      </c>
      <c r="F17" t="str">
        <f>IF($C17="faizan",IFERROR(INDEX('faizan grading'!$E:$Q,MATCH($A17&amp;"|"&amp;$B17,'faizan grading'!$S:$S,0),COLUMN()-3),""),IF($C17="romain",IFERROR(INDEX('romain grading'!$E:$Q,MATCH($A17&amp;"|"&amp;$B17,'romain grading'!$S:$S,0),COLUMN()-3),""),IF($C17="nishita",IFERROR(INDEX('nishita grading'!$E:$Q,MATCH($A17&amp;"|"&amp;$B17,'nishita grading'!$S:$S,0),COLUMN()-3),""),"")))</f>
        <v/>
      </c>
      <c r="G17" t="str">
        <f>IF($C17="faizan",IFERROR(INDEX('faizan grading'!$E:$Q,MATCH($A17&amp;"|"&amp;$B17,'faizan grading'!$S:$S,0),COLUMN()-3),""),IF($C17="romain",IFERROR(INDEX('romain grading'!$E:$Q,MATCH($A17&amp;"|"&amp;$B17,'romain grading'!$S:$S,0),COLUMN()-3),""),IF($C17="nishita",IFERROR(INDEX('nishita grading'!$E:$Q,MATCH($A17&amp;"|"&amp;$B17,'nishita grading'!$S:$S,0),COLUMN()-3),""),"")))</f>
        <v/>
      </c>
      <c r="H17" t="str">
        <f>IF($C17="faizan",IFERROR(INDEX('faizan grading'!$E:$Q,MATCH($A17&amp;"|"&amp;$B17,'faizan grading'!$S:$S,0),COLUMN()-3),""),IF($C17="romain",IFERROR(INDEX('romain grading'!$E:$Q,MATCH($A17&amp;"|"&amp;$B17,'romain grading'!$S:$S,0),COLUMN()-3),""),IF($C17="nishita",IFERROR(INDEX('nishita grading'!$E:$Q,MATCH($A17&amp;"|"&amp;$B17,'nishita grading'!$S:$S,0),COLUMN()-3),""),"")))</f>
        <v/>
      </c>
      <c r="I17" t="str">
        <f>IF($C17="faizan",IFERROR(INDEX('faizan grading'!$E:$Q,MATCH($A17&amp;"|"&amp;$B17,'faizan grading'!$S:$S,0),COLUMN()-3),""),IF($C17="romain",IFERROR(INDEX('romain grading'!$E:$Q,MATCH($A17&amp;"|"&amp;$B17,'romain grading'!$S:$S,0),COLUMN()-3),""),IF($C17="nishita",IFERROR(INDEX('nishita grading'!$E:$Q,MATCH($A17&amp;"|"&amp;$B17,'nishita grading'!$S:$S,0),COLUMN()-3),""),"")))</f>
        <v/>
      </c>
      <c r="J17" t="str">
        <f>IF($C17="faizan",IFERROR(INDEX('faizan grading'!$E:$Q,MATCH($A17&amp;"|"&amp;$B17,'faizan grading'!$S:$S,0),COLUMN()-3),""),IF($C17="romain",IFERROR(INDEX('romain grading'!$E:$Q,MATCH($A17&amp;"|"&amp;$B17,'romain grading'!$S:$S,0),COLUMN()-3),""),IF($C17="nishita",IFERROR(INDEX('nishita grading'!$E:$Q,MATCH($A17&amp;"|"&amp;$B17,'nishita grading'!$S:$S,0),COLUMN()-3),""),"")))</f>
        <v/>
      </c>
      <c r="K17" t="str">
        <f>IF($C17="faizan",IFERROR(INDEX('faizan grading'!$E:$Q,MATCH($A17&amp;"|"&amp;$B17,'faizan grading'!$S:$S,0),COLUMN()-3),""),IF($C17="romain",IFERROR(INDEX('romain grading'!$E:$Q,MATCH($A17&amp;"|"&amp;$B17,'romain grading'!$S:$S,0),COLUMN()-3),""),IF($C17="nishita",IFERROR(INDEX('nishita grading'!$E:$Q,MATCH($A17&amp;"|"&amp;$B17,'nishita grading'!$S:$S,0),COLUMN()-3),""),"")))</f>
        <v/>
      </c>
      <c r="L17" t="str">
        <f>IF($C17="faizan",IFERROR(INDEX('faizan grading'!$E:$Q,MATCH($A17&amp;"|"&amp;$B17,'faizan grading'!$S:$S,0),COLUMN()-3),""),IF($C17="romain",IFERROR(INDEX('romain grading'!$E:$Q,MATCH($A17&amp;"|"&amp;$B17,'romain grading'!$S:$S,0),COLUMN()-3),""),IF($C17="nishita",IFERROR(INDEX('nishita grading'!$E:$Q,MATCH($A17&amp;"|"&amp;$B17,'nishita grading'!$S:$S,0),COLUMN()-3),""),"")))</f>
        <v/>
      </c>
      <c r="M17" t="str">
        <f>IF($C17="faizan",IFERROR(INDEX('faizan grading'!$E:$Q,MATCH($A17&amp;"|"&amp;$B17,'faizan grading'!$S:$S,0),COLUMN()-3),""),IF($C17="romain",IFERROR(INDEX('romain grading'!$E:$Q,MATCH($A17&amp;"|"&amp;$B17,'romain grading'!$S:$S,0),COLUMN()-3),""),IF($C17="nishita",IFERROR(INDEX('nishita grading'!$E:$Q,MATCH($A17&amp;"|"&amp;$B17,'nishita grading'!$S:$S,0),COLUMN()-3),""),"")))</f>
        <v/>
      </c>
      <c r="N17" t="str">
        <f>IF($C17="faizan",IFERROR(INDEX('faizan grading'!$E:$Q,MATCH($A17&amp;"|"&amp;$B17,'faizan grading'!$S:$S,0),COLUMN()-3),""),IF($C17="romain",IFERROR(INDEX('romain grading'!$E:$Q,MATCH($A17&amp;"|"&amp;$B17,'romain grading'!$S:$S,0),COLUMN()-3),""),IF($C17="nishita",IFERROR(INDEX('nishita grading'!$E:$Q,MATCH($A17&amp;"|"&amp;$B17,'nishita grading'!$S:$S,0),COLUMN()-3),""),"")))</f>
        <v/>
      </c>
      <c r="O17" t="str">
        <f>IF($C17="faizan",IFERROR(INDEX('faizan grading'!$E:$Q,MATCH($A17&amp;"|"&amp;$B17,'faizan grading'!$S:$S,0),COLUMN()-3),""),IF($C17="romain",IFERROR(INDEX('romain grading'!$E:$Q,MATCH($A17&amp;"|"&amp;$B17,'romain grading'!$S:$S,0),COLUMN()-3),""),IF($C17="nishita",IFERROR(INDEX('nishita grading'!$E:$Q,MATCH($A17&amp;"|"&amp;$B17,'nishita grading'!$S:$S,0),COLUMN()-3),""),"")))</f>
        <v/>
      </c>
      <c r="P17" t="str">
        <f>IF($C17="faizan",IFERROR(INDEX('faizan grading'!$E:$Q,MATCH($A17&amp;"|"&amp;$B17,'faizan grading'!$S:$S,0),COLUMN()-3),""),IF($C17="romain",IFERROR(INDEX('romain grading'!$E:$Q,MATCH($A17&amp;"|"&amp;$B17,'romain grading'!$S:$S,0),COLUMN()-3),""),IF($C17="nishita",IFERROR(INDEX('nishita grading'!$E:$Q,MATCH($A17&amp;"|"&amp;$B17,'nishita grading'!$S:$S,0),COLUMN()-3),""),"")))</f>
        <v/>
      </c>
      <c r="Q17">
        <f t="shared" si="0"/>
        <v>42</v>
      </c>
      <c r="R17" t="str">
        <f t="shared" si="1"/>
        <v>clueless|0002</v>
      </c>
    </row>
    <row r="18" spans="1:18" x14ac:dyDescent="0.4">
      <c r="A18" t="s">
        <v>26</v>
      </c>
      <c r="B18" t="s">
        <v>19</v>
      </c>
      <c r="C18" t="s">
        <v>20</v>
      </c>
      <c r="D18">
        <f>IF($C18="faizan",IFERROR(INDEX('faizan grading'!$E:$Q,MATCH($A18&amp;"|"&amp;$B18,'faizan grading'!$S:$S,0),COLUMN()-3),""),IF($C18="romain",IFERROR(INDEX('romain grading'!$E:$Q,MATCH($A18&amp;"|"&amp;$B18,'romain grading'!$S:$S,0),COLUMN()-3),""),IF($C18="nishita",IFERROR(INDEX('nishita grading'!$E:$Q,MATCH($A18&amp;"|"&amp;$B18,'nishita grading'!$S:$S,0),COLUMN()-3),""),"")))</f>
        <v>0</v>
      </c>
      <c r="E18">
        <f>IF($C18="faizan",IFERROR(INDEX('faizan grading'!$E:$Q,MATCH($A18&amp;"|"&amp;$B18,'faizan grading'!$S:$S,0),COLUMN()-3),""),IF($C18="romain",IFERROR(INDEX('romain grading'!$E:$Q,MATCH($A18&amp;"|"&amp;$B18,'romain grading'!$S:$S,0),COLUMN()-3),""),IF($C18="nishita",IFERROR(INDEX('nishita grading'!$E:$Q,MATCH($A18&amp;"|"&amp;$B18,'nishita grading'!$S:$S,0),COLUMN()-3),""),"")))</f>
        <v>0</v>
      </c>
      <c r="F18">
        <f>IF($C18="faizan",IFERROR(INDEX('faizan grading'!$E:$Q,MATCH($A18&amp;"|"&amp;$B18,'faizan grading'!$S:$S,0),COLUMN()-3),""),IF($C18="romain",IFERROR(INDEX('romain grading'!$E:$Q,MATCH($A18&amp;"|"&amp;$B18,'romain grading'!$S:$S,0),COLUMN()-3),""),IF($C18="nishita",IFERROR(INDEX('nishita grading'!$E:$Q,MATCH($A18&amp;"|"&amp;$B18,'nishita grading'!$S:$S,0),COLUMN()-3),""),"")))</f>
        <v>0</v>
      </c>
      <c r="G18">
        <f>IF($C18="faizan",IFERROR(INDEX('faizan grading'!$E:$Q,MATCH($A18&amp;"|"&amp;$B18,'faizan grading'!$S:$S,0),COLUMN()-3),""),IF($C18="romain",IFERROR(INDEX('romain grading'!$E:$Q,MATCH($A18&amp;"|"&amp;$B18,'romain grading'!$S:$S,0),COLUMN()-3),""),IF($C18="nishita",IFERROR(INDEX('nishita grading'!$E:$Q,MATCH($A18&amp;"|"&amp;$B18,'nishita grading'!$S:$S,0),COLUMN()-3),""),"")))</f>
        <v>0</v>
      </c>
      <c r="H18">
        <f>IF($C18="faizan",IFERROR(INDEX('faizan grading'!$E:$Q,MATCH($A18&amp;"|"&amp;$B18,'faizan grading'!$S:$S,0),COLUMN()-3),""),IF($C18="romain",IFERROR(INDEX('romain grading'!$E:$Q,MATCH($A18&amp;"|"&amp;$B18,'romain grading'!$S:$S,0),COLUMN()-3),""),IF($C18="nishita",IFERROR(INDEX('nishita grading'!$E:$Q,MATCH($A18&amp;"|"&amp;$B18,'nishita grading'!$S:$S,0),COLUMN()-3),""),"")))</f>
        <v>0</v>
      </c>
      <c r="I18">
        <f>IF($C18="faizan",IFERROR(INDEX('faizan grading'!$E:$Q,MATCH($A18&amp;"|"&amp;$B18,'faizan grading'!$S:$S,0),COLUMN()-3),""),IF($C18="romain",IFERROR(INDEX('romain grading'!$E:$Q,MATCH($A18&amp;"|"&amp;$B18,'romain grading'!$S:$S,0),COLUMN()-3),""),IF($C18="nishita",IFERROR(INDEX('nishita grading'!$E:$Q,MATCH($A18&amp;"|"&amp;$B18,'nishita grading'!$S:$S,0),COLUMN()-3),""),"")))</f>
        <v>0</v>
      </c>
      <c r="J18">
        <f>IF($C18="faizan",IFERROR(INDEX('faizan grading'!$E:$Q,MATCH($A18&amp;"|"&amp;$B18,'faizan grading'!$S:$S,0),COLUMN()-3),""),IF($C18="romain",IFERROR(INDEX('romain grading'!$E:$Q,MATCH($A18&amp;"|"&amp;$B18,'romain grading'!$S:$S,0),COLUMN()-3),""),IF($C18="nishita",IFERROR(INDEX('nishita grading'!$E:$Q,MATCH($A18&amp;"|"&amp;$B18,'nishita grading'!$S:$S,0),COLUMN()-3),""),"")))</f>
        <v>0</v>
      </c>
      <c r="K18">
        <f>IF($C18="faizan",IFERROR(INDEX('faizan grading'!$E:$Q,MATCH($A18&amp;"|"&amp;$B18,'faizan grading'!$S:$S,0),COLUMN()-3),""),IF($C18="romain",IFERROR(INDEX('romain grading'!$E:$Q,MATCH($A18&amp;"|"&amp;$B18,'romain grading'!$S:$S,0),COLUMN()-3),""),IF($C18="nishita",IFERROR(INDEX('nishita grading'!$E:$Q,MATCH($A18&amp;"|"&amp;$B18,'nishita grading'!$S:$S,0),COLUMN()-3),""),"")))</f>
        <v>0</v>
      </c>
      <c r="L18">
        <f>IF($C18="faizan",IFERROR(INDEX('faizan grading'!$E:$Q,MATCH($A18&amp;"|"&amp;$B18,'faizan grading'!$S:$S,0),COLUMN()-3),""),IF($C18="romain",IFERROR(INDEX('romain grading'!$E:$Q,MATCH($A18&amp;"|"&amp;$B18,'romain grading'!$S:$S,0),COLUMN()-3),""),IF($C18="nishita",IFERROR(INDEX('nishita grading'!$E:$Q,MATCH($A18&amp;"|"&amp;$B18,'nishita grading'!$S:$S,0),COLUMN()-3),""),"")))</f>
        <v>0</v>
      </c>
      <c r="M18">
        <f>IF($C18="faizan",IFERROR(INDEX('faizan grading'!$E:$Q,MATCH($A18&amp;"|"&amp;$B18,'faizan grading'!$S:$S,0),COLUMN()-3),""),IF($C18="romain",IFERROR(INDEX('romain grading'!$E:$Q,MATCH($A18&amp;"|"&amp;$B18,'romain grading'!$S:$S,0),COLUMN()-3),""),IF($C18="nishita",IFERROR(INDEX('nishita grading'!$E:$Q,MATCH($A18&amp;"|"&amp;$B18,'nishita grading'!$S:$S,0),COLUMN()-3),""),"")))</f>
        <v>0</v>
      </c>
      <c r="N18">
        <f>IF($C18="faizan",IFERROR(INDEX('faizan grading'!$E:$Q,MATCH($A18&amp;"|"&amp;$B18,'faizan grading'!$S:$S,0),COLUMN()-3),""),IF($C18="romain",IFERROR(INDEX('romain grading'!$E:$Q,MATCH($A18&amp;"|"&amp;$B18,'romain grading'!$S:$S,0),COLUMN()-3),""),IF($C18="nishita",IFERROR(INDEX('nishita grading'!$E:$Q,MATCH($A18&amp;"|"&amp;$B18,'nishita grading'!$S:$S,0),COLUMN()-3),""),"")))</f>
        <v>0</v>
      </c>
      <c r="O18">
        <f>IF($C18="faizan",IFERROR(INDEX('faizan grading'!$E:$Q,MATCH($A18&amp;"|"&amp;$B18,'faizan grading'!$S:$S,0),COLUMN()-3),""),IF($C18="romain",IFERROR(INDEX('romain grading'!$E:$Q,MATCH($A18&amp;"|"&amp;$B18,'romain grading'!$S:$S,0),COLUMN()-3),""),IF($C18="nishita",IFERROR(INDEX('nishita grading'!$E:$Q,MATCH($A18&amp;"|"&amp;$B18,'nishita grading'!$S:$S,0),COLUMN()-3),""),"")))</f>
        <v>0</v>
      </c>
      <c r="P18">
        <f>IF($C18="faizan",IFERROR(INDEX('faizan grading'!$E:$Q,MATCH($A18&amp;"|"&amp;$B18,'faizan grading'!$S:$S,0),COLUMN()-3),""),IF($C18="romain",IFERROR(INDEX('romain grading'!$E:$Q,MATCH($A18&amp;"|"&amp;$B18,'romain grading'!$S:$S,0),COLUMN()-3),""),IF($C18="nishita",IFERROR(INDEX('nishita grading'!$E:$Q,MATCH($A18&amp;"|"&amp;$B18,'nishita grading'!$S:$S,0),COLUMN()-3),""),"")))</f>
        <v>0</v>
      </c>
      <c r="Q18">
        <f t="shared" si="0"/>
        <v>42</v>
      </c>
      <c r="R18" t="str">
        <f t="shared" si="1"/>
        <v>cooperative|0001</v>
      </c>
    </row>
    <row r="19" spans="1:18" x14ac:dyDescent="0.4">
      <c r="A19" t="s">
        <v>26</v>
      </c>
      <c r="B19" t="s">
        <v>19</v>
      </c>
      <c r="C19" t="s">
        <v>21</v>
      </c>
      <c r="D19">
        <f>IF($C19="faizan",IFERROR(INDEX('faizan grading'!$E:$Q,MATCH($A19&amp;"|"&amp;$B19,'faizan grading'!$S:$S,0),COLUMN()-3),""),IF($C19="romain",IFERROR(INDEX('romain grading'!$E:$Q,MATCH($A19&amp;"|"&amp;$B19,'romain grading'!$S:$S,0),COLUMN()-3),""),IF($C19="nishita",IFERROR(INDEX('nishita grading'!$E:$Q,MATCH($A19&amp;"|"&amp;$B19,'nishita grading'!$S:$S,0),COLUMN()-3),""),"")))</f>
        <v>0</v>
      </c>
      <c r="E19">
        <f>IF($C19="faizan",IFERROR(INDEX('faizan grading'!$E:$Q,MATCH($A19&amp;"|"&amp;$B19,'faizan grading'!$S:$S,0),COLUMN()-3),""),IF($C19="romain",IFERROR(INDEX('romain grading'!$E:$Q,MATCH($A19&amp;"|"&amp;$B19,'romain grading'!$S:$S,0),COLUMN()-3),""),IF($C19="nishita",IFERROR(INDEX('nishita grading'!$E:$Q,MATCH($A19&amp;"|"&amp;$B19,'nishita grading'!$S:$S,0),COLUMN()-3),""),"")))</f>
        <v>0</v>
      </c>
      <c r="F19">
        <f>IF($C19="faizan",IFERROR(INDEX('faizan grading'!$E:$Q,MATCH($A19&amp;"|"&amp;$B19,'faizan grading'!$S:$S,0),COLUMN()-3),""),IF($C19="romain",IFERROR(INDEX('romain grading'!$E:$Q,MATCH($A19&amp;"|"&amp;$B19,'romain grading'!$S:$S,0),COLUMN()-3),""),IF($C19="nishita",IFERROR(INDEX('nishita grading'!$E:$Q,MATCH($A19&amp;"|"&amp;$B19,'nishita grading'!$S:$S,0),COLUMN()-3),""),"")))</f>
        <v>0</v>
      </c>
      <c r="G19">
        <f>IF($C19="faizan",IFERROR(INDEX('faizan grading'!$E:$Q,MATCH($A19&amp;"|"&amp;$B19,'faizan grading'!$S:$S,0),COLUMN()-3),""),IF($C19="romain",IFERROR(INDEX('romain grading'!$E:$Q,MATCH($A19&amp;"|"&amp;$B19,'romain grading'!$S:$S,0),COLUMN()-3),""),IF($C19="nishita",IFERROR(INDEX('nishita grading'!$E:$Q,MATCH($A19&amp;"|"&amp;$B19,'nishita grading'!$S:$S,0),COLUMN()-3),""),"")))</f>
        <v>0</v>
      </c>
      <c r="H19">
        <f>IF($C19="faizan",IFERROR(INDEX('faizan grading'!$E:$Q,MATCH($A19&amp;"|"&amp;$B19,'faizan grading'!$S:$S,0),COLUMN()-3),""),IF($C19="romain",IFERROR(INDEX('romain grading'!$E:$Q,MATCH($A19&amp;"|"&amp;$B19,'romain grading'!$S:$S,0),COLUMN()-3),""),IF($C19="nishita",IFERROR(INDEX('nishita grading'!$E:$Q,MATCH($A19&amp;"|"&amp;$B19,'nishita grading'!$S:$S,0),COLUMN()-3),""),"")))</f>
        <v>0</v>
      </c>
      <c r="I19">
        <f>IF($C19="faizan",IFERROR(INDEX('faizan grading'!$E:$Q,MATCH($A19&amp;"|"&amp;$B19,'faizan grading'!$S:$S,0),COLUMN()-3),""),IF($C19="romain",IFERROR(INDEX('romain grading'!$E:$Q,MATCH($A19&amp;"|"&amp;$B19,'romain grading'!$S:$S,0),COLUMN()-3),""),IF($C19="nishita",IFERROR(INDEX('nishita grading'!$E:$Q,MATCH($A19&amp;"|"&amp;$B19,'nishita grading'!$S:$S,0),COLUMN()-3),""),"")))</f>
        <v>0</v>
      </c>
      <c r="J19">
        <f>IF($C19="faizan",IFERROR(INDEX('faizan grading'!$E:$Q,MATCH($A19&amp;"|"&amp;$B19,'faizan grading'!$S:$S,0),COLUMN()-3),""),IF($C19="romain",IFERROR(INDEX('romain grading'!$E:$Q,MATCH($A19&amp;"|"&amp;$B19,'romain grading'!$S:$S,0),COLUMN()-3),""),IF($C19="nishita",IFERROR(INDEX('nishita grading'!$E:$Q,MATCH($A19&amp;"|"&amp;$B19,'nishita grading'!$S:$S,0),COLUMN()-3),""),"")))</f>
        <v>0</v>
      </c>
      <c r="K19">
        <f>IF($C19="faizan",IFERROR(INDEX('faizan grading'!$E:$Q,MATCH($A19&amp;"|"&amp;$B19,'faizan grading'!$S:$S,0),COLUMN()-3),""),IF($C19="romain",IFERROR(INDEX('romain grading'!$E:$Q,MATCH($A19&amp;"|"&amp;$B19,'romain grading'!$S:$S,0),COLUMN()-3),""),IF($C19="nishita",IFERROR(INDEX('nishita grading'!$E:$Q,MATCH($A19&amp;"|"&amp;$B19,'nishita grading'!$S:$S,0),COLUMN()-3),""),"")))</f>
        <v>0</v>
      </c>
      <c r="L19">
        <f>IF($C19="faizan",IFERROR(INDEX('faizan grading'!$E:$Q,MATCH($A19&amp;"|"&amp;$B19,'faizan grading'!$S:$S,0),COLUMN()-3),""),IF($C19="romain",IFERROR(INDEX('romain grading'!$E:$Q,MATCH($A19&amp;"|"&amp;$B19,'romain grading'!$S:$S,0),COLUMN()-3),""),IF($C19="nishita",IFERROR(INDEX('nishita grading'!$E:$Q,MATCH($A19&amp;"|"&amp;$B19,'nishita grading'!$S:$S,0),COLUMN()-3),""),"")))</f>
        <v>0</v>
      </c>
      <c r="M19">
        <f>IF($C19="faizan",IFERROR(INDEX('faizan grading'!$E:$Q,MATCH($A19&amp;"|"&amp;$B19,'faizan grading'!$S:$S,0),COLUMN()-3),""),IF($C19="romain",IFERROR(INDEX('romain grading'!$E:$Q,MATCH($A19&amp;"|"&amp;$B19,'romain grading'!$S:$S,0),COLUMN()-3),""),IF($C19="nishita",IFERROR(INDEX('nishita grading'!$E:$Q,MATCH($A19&amp;"|"&amp;$B19,'nishita grading'!$S:$S,0),COLUMN()-3),""),"")))</f>
        <v>0</v>
      </c>
      <c r="N19">
        <f>IF($C19="faizan",IFERROR(INDEX('faizan grading'!$E:$Q,MATCH($A19&amp;"|"&amp;$B19,'faizan grading'!$S:$S,0),COLUMN()-3),""),IF($C19="romain",IFERROR(INDEX('romain grading'!$E:$Q,MATCH($A19&amp;"|"&amp;$B19,'romain grading'!$S:$S,0),COLUMN()-3),""),IF($C19="nishita",IFERROR(INDEX('nishita grading'!$E:$Q,MATCH($A19&amp;"|"&amp;$B19,'nishita grading'!$S:$S,0),COLUMN()-3),""),"")))</f>
        <v>0</v>
      </c>
      <c r="O19">
        <f>IF($C19="faizan",IFERROR(INDEX('faizan grading'!$E:$Q,MATCH($A19&amp;"|"&amp;$B19,'faizan grading'!$S:$S,0),COLUMN()-3),""),IF($C19="romain",IFERROR(INDEX('romain grading'!$E:$Q,MATCH($A19&amp;"|"&amp;$B19,'romain grading'!$S:$S,0),COLUMN()-3),""),IF($C19="nishita",IFERROR(INDEX('nishita grading'!$E:$Q,MATCH($A19&amp;"|"&amp;$B19,'nishita grading'!$S:$S,0),COLUMN()-3),""),"")))</f>
        <v>0</v>
      </c>
      <c r="P19">
        <f>IF($C19="faizan",IFERROR(INDEX('faizan grading'!$E:$Q,MATCH($A19&amp;"|"&amp;$B19,'faizan grading'!$S:$S,0),COLUMN()-3),""),IF($C19="romain",IFERROR(INDEX('romain grading'!$E:$Q,MATCH($A19&amp;"|"&amp;$B19,'romain grading'!$S:$S,0),COLUMN()-3),""),IF($C19="nishita",IFERROR(INDEX('nishita grading'!$E:$Q,MATCH($A19&amp;"|"&amp;$B19,'nishita grading'!$S:$S,0),COLUMN()-3),""),"")))</f>
        <v>0</v>
      </c>
      <c r="Q19">
        <f t="shared" si="0"/>
        <v>42</v>
      </c>
      <c r="R19" t="str">
        <f t="shared" si="1"/>
        <v>cooperative|0001</v>
      </c>
    </row>
    <row r="20" spans="1:18" x14ac:dyDescent="0.4">
      <c r="A20" t="s">
        <v>26</v>
      </c>
      <c r="B20" t="s">
        <v>19</v>
      </c>
      <c r="C20" t="s">
        <v>22</v>
      </c>
      <c r="D20">
        <f>IF($C20="faizan",IFERROR(INDEX('faizan grading'!$E:$Q,MATCH($A20&amp;"|"&amp;$B20,'faizan grading'!$S:$S,0),COLUMN()-3),""),IF($C20="romain",IFERROR(INDEX('romain grading'!$E:$Q,MATCH($A20&amp;"|"&amp;$B20,'romain grading'!$S:$S,0),COLUMN()-3),""),IF($C20="nishita",IFERROR(INDEX('nishita grading'!$E:$Q,MATCH($A20&amp;"|"&amp;$B20,'nishita grading'!$S:$S,0),COLUMN()-3),""),"")))</f>
        <v>0</v>
      </c>
      <c r="E20">
        <f>IF($C20="faizan",IFERROR(INDEX('faizan grading'!$E:$Q,MATCH($A20&amp;"|"&amp;$B20,'faizan grading'!$S:$S,0),COLUMN()-3),""),IF($C20="romain",IFERROR(INDEX('romain grading'!$E:$Q,MATCH($A20&amp;"|"&amp;$B20,'romain grading'!$S:$S,0),COLUMN()-3),""),IF($C20="nishita",IFERROR(INDEX('nishita grading'!$E:$Q,MATCH($A20&amp;"|"&amp;$B20,'nishita grading'!$S:$S,0),COLUMN()-3),""),"")))</f>
        <v>0</v>
      </c>
      <c r="F20">
        <f>IF($C20="faizan",IFERROR(INDEX('faizan grading'!$E:$Q,MATCH($A20&amp;"|"&amp;$B20,'faizan grading'!$S:$S,0),COLUMN()-3),""),IF($C20="romain",IFERROR(INDEX('romain grading'!$E:$Q,MATCH($A20&amp;"|"&amp;$B20,'romain grading'!$S:$S,0),COLUMN()-3),""),IF($C20="nishita",IFERROR(INDEX('nishita grading'!$E:$Q,MATCH($A20&amp;"|"&amp;$B20,'nishita grading'!$S:$S,0),COLUMN()-3),""),"")))</f>
        <v>0</v>
      </c>
      <c r="G20">
        <f>IF($C20="faizan",IFERROR(INDEX('faizan grading'!$E:$Q,MATCH($A20&amp;"|"&amp;$B20,'faizan grading'!$S:$S,0),COLUMN()-3),""),IF($C20="romain",IFERROR(INDEX('romain grading'!$E:$Q,MATCH($A20&amp;"|"&amp;$B20,'romain grading'!$S:$S,0),COLUMN()-3),""),IF($C20="nishita",IFERROR(INDEX('nishita grading'!$E:$Q,MATCH($A20&amp;"|"&amp;$B20,'nishita grading'!$S:$S,0),COLUMN()-3),""),"")))</f>
        <v>0</v>
      </c>
      <c r="H20">
        <f>IF($C20="faizan",IFERROR(INDEX('faizan grading'!$E:$Q,MATCH($A20&amp;"|"&amp;$B20,'faizan grading'!$S:$S,0),COLUMN()-3),""),IF($C20="romain",IFERROR(INDEX('romain grading'!$E:$Q,MATCH($A20&amp;"|"&amp;$B20,'romain grading'!$S:$S,0),COLUMN()-3),""),IF($C20="nishita",IFERROR(INDEX('nishita grading'!$E:$Q,MATCH($A20&amp;"|"&amp;$B20,'nishita grading'!$S:$S,0),COLUMN()-3),""),"")))</f>
        <v>0</v>
      </c>
      <c r="I20">
        <f>IF($C20="faizan",IFERROR(INDEX('faizan grading'!$E:$Q,MATCH($A20&amp;"|"&amp;$B20,'faizan grading'!$S:$S,0),COLUMN()-3),""),IF($C20="romain",IFERROR(INDEX('romain grading'!$E:$Q,MATCH($A20&amp;"|"&amp;$B20,'romain grading'!$S:$S,0),COLUMN()-3),""),IF($C20="nishita",IFERROR(INDEX('nishita grading'!$E:$Q,MATCH($A20&amp;"|"&amp;$B20,'nishita grading'!$S:$S,0),COLUMN()-3),""),"")))</f>
        <v>0</v>
      </c>
      <c r="J20">
        <f>IF($C20="faizan",IFERROR(INDEX('faizan grading'!$E:$Q,MATCH($A20&amp;"|"&amp;$B20,'faizan grading'!$S:$S,0),COLUMN()-3),""),IF($C20="romain",IFERROR(INDEX('romain grading'!$E:$Q,MATCH($A20&amp;"|"&amp;$B20,'romain grading'!$S:$S,0),COLUMN()-3),""),IF($C20="nishita",IFERROR(INDEX('nishita grading'!$E:$Q,MATCH($A20&amp;"|"&amp;$B20,'nishita grading'!$S:$S,0),COLUMN()-3),""),"")))</f>
        <v>0</v>
      </c>
      <c r="K20">
        <f>IF($C20="faizan",IFERROR(INDEX('faizan grading'!$E:$Q,MATCH($A20&amp;"|"&amp;$B20,'faizan grading'!$S:$S,0),COLUMN()-3),""),IF($C20="romain",IFERROR(INDEX('romain grading'!$E:$Q,MATCH($A20&amp;"|"&amp;$B20,'romain grading'!$S:$S,0),COLUMN()-3),""),IF($C20="nishita",IFERROR(INDEX('nishita grading'!$E:$Q,MATCH($A20&amp;"|"&amp;$B20,'nishita grading'!$S:$S,0),COLUMN()-3),""),"")))</f>
        <v>0</v>
      </c>
      <c r="L20">
        <f>IF($C20="faizan",IFERROR(INDEX('faizan grading'!$E:$Q,MATCH($A20&amp;"|"&amp;$B20,'faizan grading'!$S:$S,0),COLUMN()-3),""),IF($C20="romain",IFERROR(INDEX('romain grading'!$E:$Q,MATCH($A20&amp;"|"&amp;$B20,'romain grading'!$S:$S,0),COLUMN()-3),""),IF($C20="nishita",IFERROR(INDEX('nishita grading'!$E:$Q,MATCH($A20&amp;"|"&amp;$B20,'nishita grading'!$S:$S,0),COLUMN()-3),""),"")))</f>
        <v>0</v>
      </c>
      <c r="M20">
        <f>IF($C20="faizan",IFERROR(INDEX('faizan grading'!$E:$Q,MATCH($A20&amp;"|"&amp;$B20,'faizan grading'!$S:$S,0),COLUMN()-3),""),IF($C20="romain",IFERROR(INDEX('romain grading'!$E:$Q,MATCH($A20&amp;"|"&amp;$B20,'romain grading'!$S:$S,0),COLUMN()-3),""),IF($C20="nishita",IFERROR(INDEX('nishita grading'!$E:$Q,MATCH($A20&amp;"|"&amp;$B20,'nishita grading'!$S:$S,0),COLUMN()-3),""),"")))</f>
        <v>0</v>
      </c>
      <c r="N20">
        <f>IF($C20="faizan",IFERROR(INDEX('faizan grading'!$E:$Q,MATCH($A20&amp;"|"&amp;$B20,'faizan grading'!$S:$S,0),COLUMN()-3),""),IF($C20="romain",IFERROR(INDEX('romain grading'!$E:$Q,MATCH($A20&amp;"|"&amp;$B20,'romain grading'!$S:$S,0),COLUMN()-3),""),IF($C20="nishita",IFERROR(INDEX('nishita grading'!$E:$Q,MATCH($A20&amp;"|"&amp;$B20,'nishita grading'!$S:$S,0),COLUMN()-3),""),"")))</f>
        <v>0</v>
      </c>
      <c r="O20">
        <f>IF($C20="faizan",IFERROR(INDEX('faizan grading'!$E:$Q,MATCH($A20&amp;"|"&amp;$B20,'faizan grading'!$S:$S,0),COLUMN()-3),""),IF($C20="romain",IFERROR(INDEX('romain grading'!$E:$Q,MATCH($A20&amp;"|"&amp;$B20,'romain grading'!$S:$S,0),COLUMN()-3),""),IF($C20="nishita",IFERROR(INDEX('nishita grading'!$E:$Q,MATCH($A20&amp;"|"&amp;$B20,'nishita grading'!$S:$S,0),COLUMN()-3),""),"")))</f>
        <v>0</v>
      </c>
      <c r="P20">
        <f>IF($C20="faizan",IFERROR(INDEX('faizan grading'!$E:$Q,MATCH($A20&amp;"|"&amp;$B20,'faizan grading'!$S:$S,0),COLUMN()-3),""),IF($C20="romain",IFERROR(INDEX('romain grading'!$E:$Q,MATCH($A20&amp;"|"&amp;$B20,'romain grading'!$S:$S,0),COLUMN()-3),""),IF($C20="nishita",IFERROR(INDEX('nishita grading'!$E:$Q,MATCH($A20&amp;"|"&amp;$B20,'nishita grading'!$S:$S,0),COLUMN()-3),""),"")))</f>
        <v>0</v>
      </c>
      <c r="Q20">
        <f t="shared" si="0"/>
        <v>42</v>
      </c>
      <c r="R20" t="str">
        <f t="shared" si="1"/>
        <v>cooperative|0001</v>
      </c>
    </row>
    <row r="21" spans="1:18" x14ac:dyDescent="0.4">
      <c r="A21" t="s">
        <v>26</v>
      </c>
      <c r="B21" t="s">
        <v>19</v>
      </c>
      <c r="C21" t="s">
        <v>23</v>
      </c>
      <c r="D21" t="str">
        <f>IF($C21="faizan",IFERROR(INDEX('faizan grading'!$E:$Q,MATCH($A21&amp;"|"&amp;$B21,'faizan grading'!$S:$S,0),COLUMN()-3),""),IF($C21="romain",IFERROR(INDEX('romain grading'!$E:$Q,MATCH($A21&amp;"|"&amp;$B21,'romain grading'!$S:$S,0),COLUMN()-3),""),IF($C21="nishita",IFERROR(INDEX('nishita grading'!$E:$Q,MATCH($A21&amp;"|"&amp;$B21,'nishita grading'!$S:$S,0),COLUMN()-3),""),"")))</f>
        <v/>
      </c>
      <c r="E21" t="str">
        <f>IF($C21="faizan",IFERROR(INDEX('faizan grading'!$E:$Q,MATCH($A21&amp;"|"&amp;$B21,'faizan grading'!$S:$S,0),COLUMN()-3),""),IF($C21="romain",IFERROR(INDEX('romain grading'!$E:$Q,MATCH($A21&amp;"|"&amp;$B21,'romain grading'!$S:$S,0),COLUMN()-3),""),IF($C21="nishita",IFERROR(INDEX('nishita grading'!$E:$Q,MATCH($A21&amp;"|"&amp;$B21,'nishita grading'!$S:$S,0),COLUMN()-3),""),"")))</f>
        <v/>
      </c>
      <c r="F21" t="str">
        <f>IF($C21="faizan",IFERROR(INDEX('faizan grading'!$E:$Q,MATCH($A21&amp;"|"&amp;$B21,'faizan grading'!$S:$S,0),COLUMN()-3),""),IF($C21="romain",IFERROR(INDEX('romain grading'!$E:$Q,MATCH($A21&amp;"|"&amp;$B21,'romain grading'!$S:$S,0),COLUMN()-3),""),IF($C21="nishita",IFERROR(INDEX('nishita grading'!$E:$Q,MATCH($A21&amp;"|"&amp;$B21,'nishita grading'!$S:$S,0),COLUMN()-3),""),"")))</f>
        <v/>
      </c>
      <c r="G21" t="str">
        <f>IF($C21="faizan",IFERROR(INDEX('faizan grading'!$E:$Q,MATCH($A21&amp;"|"&amp;$B21,'faizan grading'!$S:$S,0),COLUMN()-3),""),IF($C21="romain",IFERROR(INDEX('romain grading'!$E:$Q,MATCH($A21&amp;"|"&amp;$B21,'romain grading'!$S:$S,0),COLUMN()-3),""),IF($C21="nishita",IFERROR(INDEX('nishita grading'!$E:$Q,MATCH($A21&amp;"|"&amp;$B21,'nishita grading'!$S:$S,0),COLUMN()-3),""),"")))</f>
        <v/>
      </c>
      <c r="H21" t="str">
        <f>IF($C21="faizan",IFERROR(INDEX('faizan grading'!$E:$Q,MATCH($A21&amp;"|"&amp;$B21,'faizan grading'!$S:$S,0),COLUMN()-3),""),IF($C21="romain",IFERROR(INDEX('romain grading'!$E:$Q,MATCH($A21&amp;"|"&amp;$B21,'romain grading'!$S:$S,0),COLUMN()-3),""),IF($C21="nishita",IFERROR(INDEX('nishita grading'!$E:$Q,MATCH($A21&amp;"|"&amp;$B21,'nishita grading'!$S:$S,0),COLUMN()-3),""),"")))</f>
        <v/>
      </c>
      <c r="I21" t="str">
        <f>IF($C21="faizan",IFERROR(INDEX('faizan grading'!$E:$Q,MATCH($A21&amp;"|"&amp;$B21,'faizan grading'!$S:$S,0),COLUMN()-3),""),IF($C21="romain",IFERROR(INDEX('romain grading'!$E:$Q,MATCH($A21&amp;"|"&amp;$B21,'romain grading'!$S:$S,0),COLUMN()-3),""),IF($C21="nishita",IFERROR(INDEX('nishita grading'!$E:$Q,MATCH($A21&amp;"|"&amp;$B21,'nishita grading'!$S:$S,0),COLUMN()-3),""),"")))</f>
        <v/>
      </c>
      <c r="J21" t="str">
        <f>IF($C21="faizan",IFERROR(INDEX('faizan grading'!$E:$Q,MATCH($A21&amp;"|"&amp;$B21,'faizan grading'!$S:$S,0),COLUMN()-3),""),IF($C21="romain",IFERROR(INDEX('romain grading'!$E:$Q,MATCH($A21&amp;"|"&amp;$B21,'romain grading'!$S:$S,0),COLUMN()-3),""),IF($C21="nishita",IFERROR(INDEX('nishita grading'!$E:$Q,MATCH($A21&amp;"|"&amp;$B21,'nishita grading'!$S:$S,0),COLUMN()-3),""),"")))</f>
        <v/>
      </c>
      <c r="K21" t="str">
        <f>IF($C21="faizan",IFERROR(INDEX('faizan grading'!$E:$Q,MATCH($A21&amp;"|"&amp;$B21,'faizan grading'!$S:$S,0),COLUMN()-3),""),IF($C21="romain",IFERROR(INDEX('romain grading'!$E:$Q,MATCH($A21&amp;"|"&amp;$B21,'romain grading'!$S:$S,0),COLUMN()-3),""),IF($C21="nishita",IFERROR(INDEX('nishita grading'!$E:$Q,MATCH($A21&amp;"|"&amp;$B21,'nishita grading'!$S:$S,0),COLUMN()-3),""),"")))</f>
        <v/>
      </c>
      <c r="L21" t="str">
        <f>IF($C21="faizan",IFERROR(INDEX('faizan grading'!$E:$Q,MATCH($A21&amp;"|"&amp;$B21,'faizan grading'!$S:$S,0),COLUMN()-3),""),IF($C21="romain",IFERROR(INDEX('romain grading'!$E:$Q,MATCH($A21&amp;"|"&amp;$B21,'romain grading'!$S:$S,0),COLUMN()-3),""),IF($C21="nishita",IFERROR(INDEX('nishita grading'!$E:$Q,MATCH($A21&amp;"|"&amp;$B21,'nishita grading'!$S:$S,0),COLUMN()-3),""),"")))</f>
        <v/>
      </c>
      <c r="M21" t="str">
        <f>IF($C21="faizan",IFERROR(INDEX('faizan grading'!$E:$Q,MATCH($A21&amp;"|"&amp;$B21,'faizan grading'!$S:$S,0),COLUMN()-3),""),IF($C21="romain",IFERROR(INDEX('romain grading'!$E:$Q,MATCH($A21&amp;"|"&amp;$B21,'romain grading'!$S:$S,0),COLUMN()-3),""),IF($C21="nishita",IFERROR(INDEX('nishita grading'!$E:$Q,MATCH($A21&amp;"|"&amp;$B21,'nishita grading'!$S:$S,0),COLUMN()-3),""),"")))</f>
        <v/>
      </c>
      <c r="N21" t="str">
        <f>IF($C21="faizan",IFERROR(INDEX('faizan grading'!$E:$Q,MATCH($A21&amp;"|"&amp;$B21,'faizan grading'!$S:$S,0),COLUMN()-3),""),IF($C21="romain",IFERROR(INDEX('romain grading'!$E:$Q,MATCH($A21&amp;"|"&amp;$B21,'romain grading'!$S:$S,0),COLUMN()-3),""),IF($C21="nishita",IFERROR(INDEX('nishita grading'!$E:$Q,MATCH($A21&amp;"|"&amp;$B21,'nishita grading'!$S:$S,0),COLUMN()-3),""),"")))</f>
        <v/>
      </c>
      <c r="O21" t="str">
        <f>IF($C21="faizan",IFERROR(INDEX('faizan grading'!$E:$Q,MATCH($A21&amp;"|"&amp;$B21,'faizan grading'!$S:$S,0),COLUMN()-3),""),IF($C21="romain",IFERROR(INDEX('romain grading'!$E:$Q,MATCH($A21&amp;"|"&amp;$B21,'romain grading'!$S:$S,0),COLUMN()-3),""),IF($C21="nishita",IFERROR(INDEX('nishita grading'!$E:$Q,MATCH($A21&amp;"|"&amp;$B21,'nishita grading'!$S:$S,0),COLUMN()-3),""),"")))</f>
        <v/>
      </c>
      <c r="P21" t="str">
        <f>IF($C21="faizan",IFERROR(INDEX('faizan grading'!$E:$Q,MATCH($A21&amp;"|"&amp;$B21,'faizan grading'!$S:$S,0),COLUMN()-3),""),IF($C21="romain",IFERROR(INDEX('romain grading'!$E:$Q,MATCH($A21&amp;"|"&amp;$B21,'romain grading'!$S:$S,0),COLUMN()-3),""),IF($C21="nishita",IFERROR(INDEX('nishita grading'!$E:$Q,MATCH($A21&amp;"|"&amp;$B21,'nishita grading'!$S:$S,0),COLUMN()-3),""),"")))</f>
        <v/>
      </c>
      <c r="Q21">
        <f t="shared" si="0"/>
        <v>42</v>
      </c>
      <c r="R21" t="str">
        <f t="shared" si="1"/>
        <v>cooperative|0001</v>
      </c>
    </row>
    <row r="22" spans="1:18" x14ac:dyDescent="0.4">
      <c r="A22" t="s">
        <v>26</v>
      </c>
      <c r="B22" t="s">
        <v>24</v>
      </c>
      <c r="C22" t="s">
        <v>20</v>
      </c>
      <c r="D22">
        <f>IF($C22="faizan",IFERROR(INDEX('faizan grading'!$E:$Q,MATCH($A22&amp;"|"&amp;$B22,'faizan grading'!$S:$S,0),COLUMN()-3),""),IF($C22="romain",IFERROR(INDEX('romain grading'!$E:$Q,MATCH($A22&amp;"|"&amp;$B22,'romain grading'!$S:$S,0),COLUMN()-3),""),IF($C22="nishita",IFERROR(INDEX('nishita grading'!$E:$Q,MATCH($A22&amp;"|"&amp;$B22,'nishita grading'!$S:$S,0),COLUMN()-3),""),"")))</f>
        <v>0</v>
      </c>
      <c r="E22">
        <f>IF($C22="faizan",IFERROR(INDEX('faizan grading'!$E:$Q,MATCH($A22&amp;"|"&amp;$B22,'faizan grading'!$S:$S,0),COLUMN()-3),""),IF($C22="romain",IFERROR(INDEX('romain grading'!$E:$Q,MATCH($A22&amp;"|"&amp;$B22,'romain grading'!$S:$S,0),COLUMN()-3),""),IF($C22="nishita",IFERROR(INDEX('nishita grading'!$E:$Q,MATCH($A22&amp;"|"&amp;$B22,'nishita grading'!$S:$S,0),COLUMN()-3),""),"")))</f>
        <v>0</v>
      </c>
      <c r="F22">
        <f>IF($C22="faizan",IFERROR(INDEX('faizan grading'!$E:$Q,MATCH($A22&amp;"|"&amp;$B22,'faizan grading'!$S:$S,0),COLUMN()-3),""),IF($C22="romain",IFERROR(INDEX('romain grading'!$E:$Q,MATCH($A22&amp;"|"&amp;$B22,'romain grading'!$S:$S,0),COLUMN()-3),""),IF($C22="nishita",IFERROR(INDEX('nishita grading'!$E:$Q,MATCH($A22&amp;"|"&amp;$B22,'nishita grading'!$S:$S,0),COLUMN()-3),""),"")))</f>
        <v>0</v>
      </c>
      <c r="G22">
        <f>IF($C22="faizan",IFERROR(INDEX('faizan grading'!$E:$Q,MATCH($A22&amp;"|"&amp;$B22,'faizan grading'!$S:$S,0),COLUMN()-3),""),IF($C22="romain",IFERROR(INDEX('romain grading'!$E:$Q,MATCH($A22&amp;"|"&amp;$B22,'romain grading'!$S:$S,0),COLUMN()-3),""),IF($C22="nishita",IFERROR(INDEX('nishita grading'!$E:$Q,MATCH($A22&amp;"|"&amp;$B22,'nishita grading'!$S:$S,0),COLUMN()-3),""),"")))</f>
        <v>0</v>
      </c>
      <c r="H22">
        <f>IF($C22="faizan",IFERROR(INDEX('faizan grading'!$E:$Q,MATCH($A22&amp;"|"&amp;$B22,'faizan grading'!$S:$S,0),COLUMN()-3),""),IF($C22="romain",IFERROR(INDEX('romain grading'!$E:$Q,MATCH($A22&amp;"|"&amp;$B22,'romain grading'!$S:$S,0),COLUMN()-3),""),IF($C22="nishita",IFERROR(INDEX('nishita grading'!$E:$Q,MATCH($A22&amp;"|"&amp;$B22,'nishita grading'!$S:$S,0),COLUMN()-3),""),"")))</f>
        <v>0</v>
      </c>
      <c r="I22">
        <f>IF($C22="faizan",IFERROR(INDEX('faizan grading'!$E:$Q,MATCH($A22&amp;"|"&amp;$B22,'faizan grading'!$S:$S,0),COLUMN()-3),""),IF($C22="romain",IFERROR(INDEX('romain grading'!$E:$Q,MATCH($A22&amp;"|"&amp;$B22,'romain grading'!$S:$S,0),COLUMN()-3),""),IF($C22="nishita",IFERROR(INDEX('nishita grading'!$E:$Q,MATCH($A22&amp;"|"&amp;$B22,'nishita grading'!$S:$S,0),COLUMN()-3),""),"")))</f>
        <v>0</v>
      </c>
      <c r="J22">
        <f>IF($C22="faizan",IFERROR(INDEX('faizan grading'!$E:$Q,MATCH($A22&amp;"|"&amp;$B22,'faizan grading'!$S:$S,0),COLUMN()-3),""),IF($C22="romain",IFERROR(INDEX('romain grading'!$E:$Q,MATCH($A22&amp;"|"&amp;$B22,'romain grading'!$S:$S,0),COLUMN()-3),""),IF($C22="nishita",IFERROR(INDEX('nishita grading'!$E:$Q,MATCH($A22&amp;"|"&amp;$B22,'nishita grading'!$S:$S,0),COLUMN()-3),""),"")))</f>
        <v>0</v>
      </c>
      <c r="K22">
        <f>IF($C22="faizan",IFERROR(INDEX('faizan grading'!$E:$Q,MATCH($A22&amp;"|"&amp;$B22,'faizan grading'!$S:$S,0),COLUMN()-3),""),IF($C22="romain",IFERROR(INDEX('romain grading'!$E:$Q,MATCH($A22&amp;"|"&amp;$B22,'romain grading'!$S:$S,0),COLUMN()-3),""),IF($C22="nishita",IFERROR(INDEX('nishita grading'!$E:$Q,MATCH($A22&amp;"|"&amp;$B22,'nishita grading'!$S:$S,0),COLUMN()-3),""),"")))</f>
        <v>0</v>
      </c>
      <c r="L22">
        <f>IF($C22="faizan",IFERROR(INDEX('faizan grading'!$E:$Q,MATCH($A22&amp;"|"&amp;$B22,'faizan grading'!$S:$S,0),COLUMN()-3),""),IF($C22="romain",IFERROR(INDEX('romain grading'!$E:$Q,MATCH($A22&amp;"|"&amp;$B22,'romain grading'!$S:$S,0),COLUMN()-3),""),IF($C22="nishita",IFERROR(INDEX('nishita grading'!$E:$Q,MATCH($A22&amp;"|"&amp;$B22,'nishita grading'!$S:$S,0),COLUMN()-3),""),"")))</f>
        <v>0</v>
      </c>
      <c r="M22">
        <f>IF($C22="faizan",IFERROR(INDEX('faizan grading'!$E:$Q,MATCH($A22&amp;"|"&amp;$B22,'faizan grading'!$S:$S,0),COLUMN()-3),""),IF($C22="romain",IFERROR(INDEX('romain grading'!$E:$Q,MATCH($A22&amp;"|"&amp;$B22,'romain grading'!$S:$S,0),COLUMN()-3),""),IF($C22="nishita",IFERROR(INDEX('nishita grading'!$E:$Q,MATCH($A22&amp;"|"&amp;$B22,'nishita grading'!$S:$S,0),COLUMN()-3),""),"")))</f>
        <v>0</v>
      </c>
      <c r="N22">
        <f>IF($C22="faizan",IFERROR(INDEX('faizan grading'!$E:$Q,MATCH($A22&amp;"|"&amp;$B22,'faizan grading'!$S:$S,0),COLUMN()-3),""),IF($C22="romain",IFERROR(INDEX('romain grading'!$E:$Q,MATCH($A22&amp;"|"&amp;$B22,'romain grading'!$S:$S,0),COLUMN()-3),""),IF($C22="nishita",IFERROR(INDEX('nishita grading'!$E:$Q,MATCH($A22&amp;"|"&amp;$B22,'nishita grading'!$S:$S,0),COLUMN()-3),""),"")))</f>
        <v>0</v>
      </c>
      <c r="O22">
        <f>IF($C22="faizan",IFERROR(INDEX('faizan grading'!$E:$Q,MATCH($A22&amp;"|"&amp;$B22,'faizan grading'!$S:$S,0),COLUMN()-3),""),IF($C22="romain",IFERROR(INDEX('romain grading'!$E:$Q,MATCH($A22&amp;"|"&amp;$B22,'romain grading'!$S:$S,0),COLUMN()-3),""),IF($C22="nishita",IFERROR(INDEX('nishita grading'!$E:$Q,MATCH($A22&amp;"|"&amp;$B22,'nishita grading'!$S:$S,0),COLUMN()-3),""),"")))</f>
        <v>0</v>
      </c>
      <c r="P22">
        <f>IF($C22="faizan",IFERROR(INDEX('faizan grading'!$E:$Q,MATCH($A22&amp;"|"&amp;$B22,'faizan grading'!$S:$S,0),COLUMN()-3),""),IF($C22="romain",IFERROR(INDEX('romain grading'!$E:$Q,MATCH($A22&amp;"|"&amp;$B22,'romain grading'!$S:$S,0),COLUMN()-3),""),IF($C22="nishita",IFERROR(INDEX('nishita grading'!$E:$Q,MATCH($A22&amp;"|"&amp;$B22,'nishita grading'!$S:$S,0),COLUMN()-3),""),"")))</f>
        <v>0</v>
      </c>
      <c r="Q22">
        <f t="shared" si="0"/>
        <v>42</v>
      </c>
      <c r="R22" t="str">
        <f t="shared" si="1"/>
        <v>cooperative|0002</v>
      </c>
    </row>
    <row r="23" spans="1:18" x14ac:dyDescent="0.4">
      <c r="A23" t="s">
        <v>26</v>
      </c>
      <c r="B23" t="s">
        <v>24</v>
      </c>
      <c r="C23" t="s">
        <v>21</v>
      </c>
      <c r="D23">
        <f>IF($C23="faizan",IFERROR(INDEX('faizan grading'!$E:$Q,MATCH($A23&amp;"|"&amp;$B23,'faizan grading'!$S:$S,0),COLUMN()-3),""),IF($C23="romain",IFERROR(INDEX('romain grading'!$E:$Q,MATCH($A23&amp;"|"&amp;$B23,'romain grading'!$S:$S,0),COLUMN()-3),""),IF($C23="nishita",IFERROR(INDEX('nishita grading'!$E:$Q,MATCH($A23&amp;"|"&amp;$B23,'nishita grading'!$S:$S,0),COLUMN()-3),""),"")))</f>
        <v>0</v>
      </c>
      <c r="E23">
        <f>IF($C23="faizan",IFERROR(INDEX('faizan grading'!$E:$Q,MATCH($A23&amp;"|"&amp;$B23,'faizan grading'!$S:$S,0),COLUMN()-3),""),IF($C23="romain",IFERROR(INDEX('romain grading'!$E:$Q,MATCH($A23&amp;"|"&amp;$B23,'romain grading'!$S:$S,0),COLUMN()-3),""),IF($C23="nishita",IFERROR(INDEX('nishita grading'!$E:$Q,MATCH($A23&amp;"|"&amp;$B23,'nishita grading'!$S:$S,0),COLUMN()-3),""),"")))</f>
        <v>0</v>
      </c>
      <c r="F23">
        <f>IF($C23="faizan",IFERROR(INDEX('faizan grading'!$E:$Q,MATCH($A23&amp;"|"&amp;$B23,'faizan grading'!$S:$S,0),COLUMN()-3),""),IF($C23="romain",IFERROR(INDEX('romain grading'!$E:$Q,MATCH($A23&amp;"|"&amp;$B23,'romain grading'!$S:$S,0),COLUMN()-3),""),IF($C23="nishita",IFERROR(INDEX('nishita grading'!$E:$Q,MATCH($A23&amp;"|"&amp;$B23,'nishita grading'!$S:$S,0),COLUMN()-3),""),"")))</f>
        <v>0</v>
      </c>
      <c r="G23">
        <f>IF($C23="faizan",IFERROR(INDEX('faizan grading'!$E:$Q,MATCH($A23&amp;"|"&amp;$B23,'faizan grading'!$S:$S,0),COLUMN()-3),""),IF($C23="romain",IFERROR(INDEX('romain grading'!$E:$Q,MATCH($A23&amp;"|"&amp;$B23,'romain grading'!$S:$S,0),COLUMN()-3),""),IF($C23="nishita",IFERROR(INDEX('nishita grading'!$E:$Q,MATCH($A23&amp;"|"&amp;$B23,'nishita grading'!$S:$S,0),COLUMN()-3),""),"")))</f>
        <v>0</v>
      </c>
      <c r="H23">
        <f>IF($C23="faizan",IFERROR(INDEX('faizan grading'!$E:$Q,MATCH($A23&amp;"|"&amp;$B23,'faizan grading'!$S:$S,0),COLUMN()-3),""),IF($C23="romain",IFERROR(INDEX('romain grading'!$E:$Q,MATCH($A23&amp;"|"&amp;$B23,'romain grading'!$S:$S,0),COLUMN()-3),""),IF($C23="nishita",IFERROR(INDEX('nishita grading'!$E:$Q,MATCH($A23&amp;"|"&amp;$B23,'nishita grading'!$S:$S,0),COLUMN()-3),""),"")))</f>
        <v>0</v>
      </c>
      <c r="I23">
        <f>IF($C23="faizan",IFERROR(INDEX('faizan grading'!$E:$Q,MATCH($A23&amp;"|"&amp;$B23,'faizan grading'!$S:$S,0),COLUMN()-3),""),IF($C23="romain",IFERROR(INDEX('romain grading'!$E:$Q,MATCH($A23&amp;"|"&amp;$B23,'romain grading'!$S:$S,0),COLUMN()-3),""),IF($C23="nishita",IFERROR(INDEX('nishita grading'!$E:$Q,MATCH($A23&amp;"|"&amp;$B23,'nishita grading'!$S:$S,0),COLUMN()-3),""),"")))</f>
        <v>0</v>
      </c>
      <c r="J23">
        <f>IF($C23="faizan",IFERROR(INDEX('faizan grading'!$E:$Q,MATCH($A23&amp;"|"&amp;$B23,'faizan grading'!$S:$S,0),COLUMN()-3),""),IF($C23="romain",IFERROR(INDEX('romain grading'!$E:$Q,MATCH($A23&amp;"|"&amp;$B23,'romain grading'!$S:$S,0),COLUMN()-3),""),IF($C23="nishita",IFERROR(INDEX('nishita grading'!$E:$Q,MATCH($A23&amp;"|"&amp;$B23,'nishita grading'!$S:$S,0),COLUMN()-3),""),"")))</f>
        <v>0</v>
      </c>
      <c r="K23">
        <f>IF($C23="faizan",IFERROR(INDEX('faizan grading'!$E:$Q,MATCH($A23&amp;"|"&amp;$B23,'faizan grading'!$S:$S,0),COLUMN()-3),""),IF($C23="romain",IFERROR(INDEX('romain grading'!$E:$Q,MATCH($A23&amp;"|"&amp;$B23,'romain grading'!$S:$S,0),COLUMN()-3),""),IF($C23="nishita",IFERROR(INDEX('nishita grading'!$E:$Q,MATCH($A23&amp;"|"&amp;$B23,'nishita grading'!$S:$S,0),COLUMN()-3),""),"")))</f>
        <v>0</v>
      </c>
      <c r="L23">
        <f>IF($C23="faizan",IFERROR(INDEX('faizan grading'!$E:$Q,MATCH($A23&amp;"|"&amp;$B23,'faizan grading'!$S:$S,0),COLUMN()-3),""),IF($C23="romain",IFERROR(INDEX('romain grading'!$E:$Q,MATCH($A23&amp;"|"&amp;$B23,'romain grading'!$S:$S,0),COLUMN()-3),""),IF($C23="nishita",IFERROR(INDEX('nishita grading'!$E:$Q,MATCH($A23&amp;"|"&amp;$B23,'nishita grading'!$S:$S,0),COLUMN()-3),""),"")))</f>
        <v>0</v>
      </c>
      <c r="M23">
        <f>IF($C23="faizan",IFERROR(INDEX('faizan grading'!$E:$Q,MATCH($A23&amp;"|"&amp;$B23,'faizan grading'!$S:$S,0),COLUMN()-3),""),IF($C23="romain",IFERROR(INDEX('romain grading'!$E:$Q,MATCH($A23&amp;"|"&amp;$B23,'romain grading'!$S:$S,0),COLUMN()-3),""),IF($C23="nishita",IFERROR(INDEX('nishita grading'!$E:$Q,MATCH($A23&amp;"|"&amp;$B23,'nishita grading'!$S:$S,0),COLUMN()-3),""),"")))</f>
        <v>0</v>
      </c>
      <c r="N23">
        <f>IF($C23="faizan",IFERROR(INDEX('faizan grading'!$E:$Q,MATCH($A23&amp;"|"&amp;$B23,'faizan grading'!$S:$S,0),COLUMN()-3),""),IF($C23="romain",IFERROR(INDEX('romain grading'!$E:$Q,MATCH($A23&amp;"|"&amp;$B23,'romain grading'!$S:$S,0),COLUMN()-3),""),IF($C23="nishita",IFERROR(INDEX('nishita grading'!$E:$Q,MATCH($A23&amp;"|"&amp;$B23,'nishita grading'!$S:$S,0),COLUMN()-3),""),"")))</f>
        <v>0</v>
      </c>
      <c r="O23">
        <f>IF($C23="faizan",IFERROR(INDEX('faizan grading'!$E:$Q,MATCH($A23&amp;"|"&amp;$B23,'faizan grading'!$S:$S,0),COLUMN()-3),""),IF($C23="romain",IFERROR(INDEX('romain grading'!$E:$Q,MATCH($A23&amp;"|"&amp;$B23,'romain grading'!$S:$S,0),COLUMN()-3),""),IF($C23="nishita",IFERROR(INDEX('nishita grading'!$E:$Q,MATCH($A23&amp;"|"&amp;$B23,'nishita grading'!$S:$S,0),COLUMN()-3),""),"")))</f>
        <v>0</v>
      </c>
      <c r="P23">
        <f>IF($C23="faizan",IFERROR(INDEX('faizan grading'!$E:$Q,MATCH($A23&amp;"|"&amp;$B23,'faizan grading'!$S:$S,0),COLUMN()-3),""),IF($C23="romain",IFERROR(INDEX('romain grading'!$E:$Q,MATCH($A23&amp;"|"&amp;$B23,'romain grading'!$S:$S,0),COLUMN()-3),""),IF($C23="nishita",IFERROR(INDEX('nishita grading'!$E:$Q,MATCH($A23&amp;"|"&amp;$B23,'nishita grading'!$S:$S,0),COLUMN()-3),""),"")))</f>
        <v>0</v>
      </c>
      <c r="Q23">
        <f t="shared" si="0"/>
        <v>42</v>
      </c>
      <c r="R23" t="str">
        <f t="shared" si="1"/>
        <v>cooperative|0002</v>
      </c>
    </row>
    <row r="24" spans="1:18" x14ac:dyDescent="0.4">
      <c r="A24" t="s">
        <v>26</v>
      </c>
      <c r="B24" t="s">
        <v>24</v>
      </c>
      <c r="C24" t="s">
        <v>22</v>
      </c>
      <c r="D24">
        <f>IF($C24="faizan",IFERROR(INDEX('faizan grading'!$E:$Q,MATCH($A24&amp;"|"&amp;$B24,'faizan grading'!$S:$S,0),COLUMN()-3),""),IF($C24="romain",IFERROR(INDEX('romain grading'!$E:$Q,MATCH($A24&amp;"|"&amp;$B24,'romain grading'!$S:$S,0),COLUMN()-3),""),IF($C24="nishita",IFERROR(INDEX('nishita grading'!$E:$Q,MATCH($A24&amp;"|"&amp;$B24,'nishita grading'!$S:$S,0),COLUMN()-3),""),"")))</f>
        <v>0</v>
      </c>
      <c r="E24">
        <f>IF($C24="faizan",IFERROR(INDEX('faizan grading'!$E:$Q,MATCH($A24&amp;"|"&amp;$B24,'faizan grading'!$S:$S,0),COLUMN()-3),""),IF($C24="romain",IFERROR(INDEX('romain grading'!$E:$Q,MATCH($A24&amp;"|"&amp;$B24,'romain grading'!$S:$S,0),COLUMN()-3),""),IF($C24="nishita",IFERROR(INDEX('nishita grading'!$E:$Q,MATCH($A24&amp;"|"&amp;$B24,'nishita grading'!$S:$S,0),COLUMN()-3),""),"")))</f>
        <v>0</v>
      </c>
      <c r="F24">
        <f>IF($C24="faizan",IFERROR(INDEX('faizan grading'!$E:$Q,MATCH($A24&amp;"|"&amp;$B24,'faizan grading'!$S:$S,0),COLUMN()-3),""),IF($C24="romain",IFERROR(INDEX('romain grading'!$E:$Q,MATCH($A24&amp;"|"&amp;$B24,'romain grading'!$S:$S,0),COLUMN()-3),""),IF($C24="nishita",IFERROR(INDEX('nishita grading'!$E:$Q,MATCH($A24&amp;"|"&amp;$B24,'nishita grading'!$S:$S,0),COLUMN()-3),""),"")))</f>
        <v>0</v>
      </c>
      <c r="G24">
        <f>IF($C24="faizan",IFERROR(INDEX('faizan grading'!$E:$Q,MATCH($A24&amp;"|"&amp;$B24,'faizan grading'!$S:$S,0),COLUMN()-3),""),IF($C24="romain",IFERROR(INDEX('romain grading'!$E:$Q,MATCH($A24&amp;"|"&amp;$B24,'romain grading'!$S:$S,0),COLUMN()-3),""),IF($C24="nishita",IFERROR(INDEX('nishita grading'!$E:$Q,MATCH($A24&amp;"|"&amp;$B24,'nishita grading'!$S:$S,0),COLUMN()-3),""),"")))</f>
        <v>0</v>
      </c>
      <c r="H24">
        <f>IF($C24="faizan",IFERROR(INDEX('faizan grading'!$E:$Q,MATCH($A24&amp;"|"&amp;$B24,'faizan grading'!$S:$S,0),COLUMN()-3),""),IF($C24="romain",IFERROR(INDEX('romain grading'!$E:$Q,MATCH($A24&amp;"|"&amp;$B24,'romain grading'!$S:$S,0),COLUMN()-3),""),IF($C24="nishita",IFERROR(INDEX('nishita grading'!$E:$Q,MATCH($A24&amp;"|"&amp;$B24,'nishita grading'!$S:$S,0),COLUMN()-3),""),"")))</f>
        <v>0</v>
      </c>
      <c r="I24">
        <f>IF($C24="faizan",IFERROR(INDEX('faizan grading'!$E:$Q,MATCH($A24&amp;"|"&amp;$B24,'faizan grading'!$S:$S,0),COLUMN()-3),""),IF($C24="romain",IFERROR(INDEX('romain grading'!$E:$Q,MATCH($A24&amp;"|"&amp;$B24,'romain grading'!$S:$S,0),COLUMN()-3),""),IF($C24="nishita",IFERROR(INDEX('nishita grading'!$E:$Q,MATCH($A24&amp;"|"&amp;$B24,'nishita grading'!$S:$S,0),COLUMN()-3),""),"")))</f>
        <v>0</v>
      </c>
      <c r="J24">
        <f>IF($C24="faizan",IFERROR(INDEX('faizan grading'!$E:$Q,MATCH($A24&amp;"|"&amp;$B24,'faizan grading'!$S:$S,0),COLUMN()-3),""),IF($C24="romain",IFERROR(INDEX('romain grading'!$E:$Q,MATCH($A24&amp;"|"&amp;$B24,'romain grading'!$S:$S,0),COLUMN()-3),""),IF($C24="nishita",IFERROR(INDEX('nishita grading'!$E:$Q,MATCH($A24&amp;"|"&amp;$B24,'nishita grading'!$S:$S,0),COLUMN()-3),""),"")))</f>
        <v>0</v>
      </c>
      <c r="K24">
        <f>IF($C24="faizan",IFERROR(INDEX('faizan grading'!$E:$Q,MATCH($A24&amp;"|"&amp;$B24,'faizan grading'!$S:$S,0),COLUMN()-3),""),IF($C24="romain",IFERROR(INDEX('romain grading'!$E:$Q,MATCH($A24&amp;"|"&amp;$B24,'romain grading'!$S:$S,0),COLUMN()-3),""),IF($C24="nishita",IFERROR(INDEX('nishita grading'!$E:$Q,MATCH($A24&amp;"|"&amp;$B24,'nishita grading'!$S:$S,0),COLUMN()-3),""),"")))</f>
        <v>0</v>
      </c>
      <c r="L24">
        <f>IF($C24="faizan",IFERROR(INDEX('faizan grading'!$E:$Q,MATCH($A24&amp;"|"&amp;$B24,'faizan grading'!$S:$S,0),COLUMN()-3),""),IF($C24="romain",IFERROR(INDEX('romain grading'!$E:$Q,MATCH($A24&amp;"|"&amp;$B24,'romain grading'!$S:$S,0),COLUMN()-3),""),IF($C24="nishita",IFERROR(INDEX('nishita grading'!$E:$Q,MATCH($A24&amp;"|"&amp;$B24,'nishita grading'!$S:$S,0),COLUMN()-3),""),"")))</f>
        <v>0</v>
      </c>
      <c r="M24">
        <f>IF($C24="faizan",IFERROR(INDEX('faizan grading'!$E:$Q,MATCH($A24&amp;"|"&amp;$B24,'faizan grading'!$S:$S,0),COLUMN()-3),""),IF($C24="romain",IFERROR(INDEX('romain grading'!$E:$Q,MATCH($A24&amp;"|"&amp;$B24,'romain grading'!$S:$S,0),COLUMN()-3),""),IF($C24="nishita",IFERROR(INDEX('nishita grading'!$E:$Q,MATCH($A24&amp;"|"&amp;$B24,'nishita grading'!$S:$S,0),COLUMN()-3),""),"")))</f>
        <v>0</v>
      </c>
      <c r="N24">
        <f>IF($C24="faizan",IFERROR(INDEX('faizan grading'!$E:$Q,MATCH($A24&amp;"|"&amp;$B24,'faizan grading'!$S:$S,0),COLUMN()-3),""),IF($C24="romain",IFERROR(INDEX('romain grading'!$E:$Q,MATCH($A24&amp;"|"&amp;$B24,'romain grading'!$S:$S,0),COLUMN()-3),""),IF($C24="nishita",IFERROR(INDEX('nishita grading'!$E:$Q,MATCH($A24&amp;"|"&amp;$B24,'nishita grading'!$S:$S,0),COLUMN()-3),""),"")))</f>
        <v>0</v>
      </c>
      <c r="O24">
        <f>IF($C24="faizan",IFERROR(INDEX('faizan grading'!$E:$Q,MATCH($A24&amp;"|"&amp;$B24,'faizan grading'!$S:$S,0),COLUMN()-3),""),IF($C24="romain",IFERROR(INDEX('romain grading'!$E:$Q,MATCH($A24&amp;"|"&amp;$B24,'romain grading'!$S:$S,0),COLUMN()-3),""),IF($C24="nishita",IFERROR(INDEX('nishita grading'!$E:$Q,MATCH($A24&amp;"|"&amp;$B24,'nishita grading'!$S:$S,0),COLUMN()-3),""),"")))</f>
        <v>0</v>
      </c>
      <c r="P24">
        <f>IF($C24="faizan",IFERROR(INDEX('faizan grading'!$E:$Q,MATCH($A24&amp;"|"&amp;$B24,'faizan grading'!$S:$S,0),COLUMN()-3),""),IF($C24="romain",IFERROR(INDEX('romain grading'!$E:$Q,MATCH($A24&amp;"|"&amp;$B24,'romain grading'!$S:$S,0),COLUMN()-3),""),IF($C24="nishita",IFERROR(INDEX('nishita grading'!$E:$Q,MATCH($A24&amp;"|"&amp;$B24,'nishita grading'!$S:$S,0),COLUMN()-3),""),"")))</f>
        <v>0</v>
      </c>
      <c r="Q24">
        <f t="shared" si="0"/>
        <v>42</v>
      </c>
      <c r="R24" t="str">
        <f t="shared" si="1"/>
        <v>cooperative|0002</v>
      </c>
    </row>
    <row r="25" spans="1:18" x14ac:dyDescent="0.4">
      <c r="A25" t="s">
        <v>26</v>
      </c>
      <c r="B25" t="s">
        <v>24</v>
      </c>
      <c r="C25" t="s">
        <v>23</v>
      </c>
      <c r="D25" t="str">
        <f>IF($C25="faizan",IFERROR(INDEX('faizan grading'!$E:$Q,MATCH($A25&amp;"|"&amp;$B25,'faizan grading'!$S:$S,0),COLUMN()-3),""),IF($C25="romain",IFERROR(INDEX('romain grading'!$E:$Q,MATCH($A25&amp;"|"&amp;$B25,'romain grading'!$S:$S,0),COLUMN()-3),""),IF($C25="nishita",IFERROR(INDEX('nishita grading'!$E:$Q,MATCH($A25&amp;"|"&amp;$B25,'nishita grading'!$S:$S,0),COLUMN()-3),""),"")))</f>
        <v/>
      </c>
      <c r="E25" t="str">
        <f>IF($C25="faizan",IFERROR(INDEX('faizan grading'!$E:$Q,MATCH($A25&amp;"|"&amp;$B25,'faizan grading'!$S:$S,0),COLUMN()-3),""),IF($C25="romain",IFERROR(INDEX('romain grading'!$E:$Q,MATCH($A25&amp;"|"&amp;$B25,'romain grading'!$S:$S,0),COLUMN()-3),""),IF($C25="nishita",IFERROR(INDEX('nishita grading'!$E:$Q,MATCH($A25&amp;"|"&amp;$B25,'nishita grading'!$S:$S,0),COLUMN()-3),""),"")))</f>
        <v/>
      </c>
      <c r="F25" t="str">
        <f>IF($C25="faizan",IFERROR(INDEX('faizan grading'!$E:$Q,MATCH($A25&amp;"|"&amp;$B25,'faizan grading'!$S:$S,0),COLUMN()-3),""),IF($C25="romain",IFERROR(INDEX('romain grading'!$E:$Q,MATCH($A25&amp;"|"&amp;$B25,'romain grading'!$S:$S,0),COLUMN()-3),""),IF($C25="nishita",IFERROR(INDEX('nishita grading'!$E:$Q,MATCH($A25&amp;"|"&amp;$B25,'nishita grading'!$S:$S,0),COLUMN()-3),""),"")))</f>
        <v/>
      </c>
      <c r="G25" t="str">
        <f>IF($C25="faizan",IFERROR(INDEX('faizan grading'!$E:$Q,MATCH($A25&amp;"|"&amp;$B25,'faizan grading'!$S:$S,0),COLUMN()-3),""),IF($C25="romain",IFERROR(INDEX('romain grading'!$E:$Q,MATCH($A25&amp;"|"&amp;$B25,'romain grading'!$S:$S,0),COLUMN()-3),""),IF($C25="nishita",IFERROR(INDEX('nishita grading'!$E:$Q,MATCH($A25&amp;"|"&amp;$B25,'nishita grading'!$S:$S,0),COLUMN()-3),""),"")))</f>
        <v/>
      </c>
      <c r="H25" t="str">
        <f>IF($C25="faizan",IFERROR(INDEX('faizan grading'!$E:$Q,MATCH($A25&amp;"|"&amp;$B25,'faizan grading'!$S:$S,0),COLUMN()-3),""),IF($C25="romain",IFERROR(INDEX('romain grading'!$E:$Q,MATCH($A25&amp;"|"&amp;$B25,'romain grading'!$S:$S,0),COLUMN()-3),""),IF($C25="nishita",IFERROR(INDEX('nishita grading'!$E:$Q,MATCH($A25&amp;"|"&amp;$B25,'nishita grading'!$S:$S,0),COLUMN()-3),""),"")))</f>
        <v/>
      </c>
      <c r="I25" t="str">
        <f>IF($C25="faizan",IFERROR(INDEX('faizan grading'!$E:$Q,MATCH($A25&amp;"|"&amp;$B25,'faizan grading'!$S:$S,0),COLUMN()-3),""),IF($C25="romain",IFERROR(INDEX('romain grading'!$E:$Q,MATCH($A25&amp;"|"&amp;$B25,'romain grading'!$S:$S,0),COLUMN()-3),""),IF($C25="nishita",IFERROR(INDEX('nishita grading'!$E:$Q,MATCH($A25&amp;"|"&amp;$B25,'nishita grading'!$S:$S,0),COLUMN()-3),""),"")))</f>
        <v/>
      </c>
      <c r="J25" t="str">
        <f>IF($C25="faizan",IFERROR(INDEX('faizan grading'!$E:$Q,MATCH($A25&amp;"|"&amp;$B25,'faizan grading'!$S:$S,0),COLUMN()-3),""),IF($C25="romain",IFERROR(INDEX('romain grading'!$E:$Q,MATCH($A25&amp;"|"&amp;$B25,'romain grading'!$S:$S,0),COLUMN()-3),""),IF($C25="nishita",IFERROR(INDEX('nishita grading'!$E:$Q,MATCH($A25&amp;"|"&amp;$B25,'nishita grading'!$S:$S,0),COLUMN()-3),""),"")))</f>
        <v/>
      </c>
      <c r="K25" t="str">
        <f>IF($C25="faizan",IFERROR(INDEX('faizan grading'!$E:$Q,MATCH($A25&amp;"|"&amp;$B25,'faizan grading'!$S:$S,0),COLUMN()-3),""),IF($C25="romain",IFERROR(INDEX('romain grading'!$E:$Q,MATCH($A25&amp;"|"&amp;$B25,'romain grading'!$S:$S,0),COLUMN()-3),""),IF($C25="nishita",IFERROR(INDEX('nishita grading'!$E:$Q,MATCH($A25&amp;"|"&amp;$B25,'nishita grading'!$S:$S,0),COLUMN()-3),""),"")))</f>
        <v/>
      </c>
      <c r="L25" t="str">
        <f>IF($C25="faizan",IFERROR(INDEX('faizan grading'!$E:$Q,MATCH($A25&amp;"|"&amp;$B25,'faizan grading'!$S:$S,0),COLUMN()-3),""),IF($C25="romain",IFERROR(INDEX('romain grading'!$E:$Q,MATCH($A25&amp;"|"&amp;$B25,'romain grading'!$S:$S,0),COLUMN()-3),""),IF($C25="nishita",IFERROR(INDEX('nishita grading'!$E:$Q,MATCH($A25&amp;"|"&amp;$B25,'nishita grading'!$S:$S,0),COLUMN()-3),""),"")))</f>
        <v/>
      </c>
      <c r="M25" t="str">
        <f>IF($C25="faizan",IFERROR(INDEX('faizan grading'!$E:$Q,MATCH($A25&amp;"|"&amp;$B25,'faizan grading'!$S:$S,0),COLUMN()-3),""),IF($C25="romain",IFERROR(INDEX('romain grading'!$E:$Q,MATCH($A25&amp;"|"&amp;$B25,'romain grading'!$S:$S,0),COLUMN()-3),""),IF($C25="nishita",IFERROR(INDEX('nishita grading'!$E:$Q,MATCH($A25&amp;"|"&amp;$B25,'nishita grading'!$S:$S,0),COLUMN()-3),""),"")))</f>
        <v/>
      </c>
      <c r="N25" t="str">
        <f>IF($C25="faizan",IFERROR(INDEX('faizan grading'!$E:$Q,MATCH($A25&amp;"|"&amp;$B25,'faizan grading'!$S:$S,0),COLUMN()-3),""),IF($C25="romain",IFERROR(INDEX('romain grading'!$E:$Q,MATCH($A25&amp;"|"&amp;$B25,'romain grading'!$S:$S,0),COLUMN()-3),""),IF($C25="nishita",IFERROR(INDEX('nishita grading'!$E:$Q,MATCH($A25&amp;"|"&amp;$B25,'nishita grading'!$S:$S,0),COLUMN()-3),""),"")))</f>
        <v/>
      </c>
      <c r="O25" t="str">
        <f>IF($C25="faizan",IFERROR(INDEX('faizan grading'!$E:$Q,MATCH($A25&amp;"|"&amp;$B25,'faizan grading'!$S:$S,0),COLUMN()-3),""),IF($C25="romain",IFERROR(INDEX('romain grading'!$E:$Q,MATCH($A25&amp;"|"&amp;$B25,'romain grading'!$S:$S,0),COLUMN()-3),""),IF($C25="nishita",IFERROR(INDEX('nishita grading'!$E:$Q,MATCH($A25&amp;"|"&amp;$B25,'nishita grading'!$S:$S,0),COLUMN()-3),""),"")))</f>
        <v/>
      </c>
      <c r="P25" t="str">
        <f>IF($C25="faizan",IFERROR(INDEX('faizan grading'!$E:$Q,MATCH($A25&amp;"|"&amp;$B25,'faizan grading'!$S:$S,0),COLUMN()-3),""),IF($C25="romain",IFERROR(INDEX('romain grading'!$E:$Q,MATCH($A25&amp;"|"&amp;$B25,'romain grading'!$S:$S,0),COLUMN()-3),""),IF($C25="nishita",IFERROR(INDEX('nishita grading'!$E:$Q,MATCH($A25&amp;"|"&amp;$B25,'nishita grading'!$S:$S,0),COLUMN()-3),""),"")))</f>
        <v/>
      </c>
      <c r="Q25">
        <f t="shared" si="0"/>
        <v>42</v>
      </c>
      <c r="R25" t="str">
        <f t="shared" si="1"/>
        <v>cooperative|0002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"/>
  <sheetViews>
    <sheetView workbookViewId="0">
      <pane ySplit="1" topLeftCell="A2" activePane="bottomLeft" state="frozen"/>
      <selection pane="bottomLeft" activeCell="E2" sqref="E2"/>
    </sheetView>
  </sheetViews>
  <sheetFormatPr defaultRowHeight="14.6" x14ac:dyDescent="0.4"/>
  <cols>
    <col min="1" max="1" width="14" customWidth="1"/>
    <col min="2" max="2" width="18" customWidth="1"/>
    <col min="3" max="3" width="45" customWidth="1"/>
    <col min="4" max="4" width="14" customWidth="1"/>
    <col min="5" max="17" width="8" customWidth="1"/>
    <col min="18" max="18" width="12" customWidth="1"/>
    <col min="19" max="19" width="13" hidden="1" customWidth="1"/>
  </cols>
  <sheetData>
    <row r="1" spans="1:19" x14ac:dyDescent="0.4">
      <c r="A1" s="1" t="s">
        <v>0</v>
      </c>
      <c r="B1" s="1" t="s">
        <v>1</v>
      </c>
      <c r="C1" s="1" t="s">
        <v>27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t="s">
        <v>17</v>
      </c>
    </row>
    <row r="2" spans="1:19" x14ac:dyDescent="0.4">
      <c r="A2" t="s">
        <v>18</v>
      </c>
      <c r="B2" t="s">
        <v>19</v>
      </c>
      <c r="C2" t="s">
        <v>28</v>
      </c>
      <c r="D2" t="s">
        <v>20</v>
      </c>
      <c r="R2">
        <f t="shared" ref="R2:R7" si="0">42-SUM(E2:Q2)</f>
        <v>42</v>
      </c>
      <c r="S2" t="str">
        <f t="shared" ref="S2:S7" si="1">A2&amp;"|"&amp;B2</f>
        <v>chaotic|0001</v>
      </c>
    </row>
    <row r="3" spans="1:19" x14ac:dyDescent="0.4">
      <c r="A3" t="s">
        <v>18</v>
      </c>
      <c r="B3" t="s">
        <v>24</v>
      </c>
      <c r="C3" t="s">
        <v>29</v>
      </c>
      <c r="D3" t="s">
        <v>20</v>
      </c>
      <c r="R3">
        <f t="shared" si="0"/>
        <v>42</v>
      </c>
      <c r="S3" t="str">
        <f t="shared" si="1"/>
        <v>chaotic|0002</v>
      </c>
    </row>
    <row r="4" spans="1:19" x14ac:dyDescent="0.4">
      <c r="A4" t="s">
        <v>25</v>
      </c>
      <c r="B4" t="s">
        <v>19</v>
      </c>
      <c r="C4" t="s">
        <v>30</v>
      </c>
      <c r="D4" t="s">
        <v>20</v>
      </c>
      <c r="R4">
        <f t="shared" si="0"/>
        <v>42</v>
      </c>
      <c r="S4" t="str">
        <f t="shared" si="1"/>
        <v>clueless|0001</v>
      </c>
    </row>
    <row r="5" spans="1:19" x14ac:dyDescent="0.4">
      <c r="A5" t="s">
        <v>25</v>
      </c>
      <c r="B5" t="s">
        <v>24</v>
      </c>
      <c r="C5" t="s">
        <v>31</v>
      </c>
      <c r="D5" t="s">
        <v>20</v>
      </c>
      <c r="R5">
        <f t="shared" si="0"/>
        <v>42</v>
      </c>
      <c r="S5" t="str">
        <f t="shared" si="1"/>
        <v>clueless|0002</v>
      </c>
    </row>
    <row r="6" spans="1:19" x14ac:dyDescent="0.4">
      <c r="A6" t="s">
        <v>26</v>
      </c>
      <c r="B6" t="s">
        <v>19</v>
      </c>
      <c r="C6" t="s">
        <v>32</v>
      </c>
      <c r="D6" t="s">
        <v>20</v>
      </c>
      <c r="R6">
        <f t="shared" si="0"/>
        <v>42</v>
      </c>
      <c r="S6" t="str">
        <f t="shared" si="1"/>
        <v>cooperative|0001</v>
      </c>
    </row>
    <row r="7" spans="1:19" x14ac:dyDescent="0.4">
      <c r="A7" t="s">
        <v>26</v>
      </c>
      <c r="B7" t="s">
        <v>24</v>
      </c>
      <c r="C7" t="s">
        <v>33</v>
      </c>
      <c r="D7" t="s">
        <v>20</v>
      </c>
      <c r="R7">
        <f t="shared" si="0"/>
        <v>42</v>
      </c>
      <c r="S7" t="str">
        <f t="shared" si="1"/>
        <v>cooperative|0002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4" customWidth="1"/>
    <col min="2" max="2" width="18" customWidth="1"/>
    <col min="3" max="3" width="45" customWidth="1"/>
    <col min="4" max="4" width="14" customWidth="1"/>
    <col min="5" max="17" width="8" customWidth="1"/>
    <col min="18" max="18" width="12" customWidth="1"/>
    <col min="19" max="19" width="13" hidden="1" customWidth="1"/>
  </cols>
  <sheetData>
    <row r="1" spans="1:19" x14ac:dyDescent="0.4">
      <c r="A1" s="1" t="s">
        <v>0</v>
      </c>
      <c r="B1" s="1" t="s">
        <v>1</v>
      </c>
      <c r="C1" s="1" t="s">
        <v>27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t="s">
        <v>17</v>
      </c>
    </row>
    <row r="2" spans="1:19" x14ac:dyDescent="0.4">
      <c r="A2" t="s">
        <v>18</v>
      </c>
      <c r="B2" t="s">
        <v>19</v>
      </c>
      <c r="C2" t="s">
        <v>28</v>
      </c>
      <c r="D2" t="s">
        <v>21</v>
      </c>
      <c r="R2">
        <f t="shared" ref="R2:R7" si="0">42-SUM(E2:Q2)</f>
        <v>42</v>
      </c>
      <c r="S2" t="str">
        <f t="shared" ref="S2:S7" si="1">A2&amp;"|"&amp;B2</f>
        <v>chaotic|0001</v>
      </c>
    </row>
    <row r="3" spans="1:19" x14ac:dyDescent="0.4">
      <c r="A3" t="s">
        <v>18</v>
      </c>
      <c r="B3" t="s">
        <v>24</v>
      </c>
      <c r="C3" t="s">
        <v>29</v>
      </c>
      <c r="D3" t="s">
        <v>21</v>
      </c>
      <c r="R3">
        <f t="shared" si="0"/>
        <v>42</v>
      </c>
      <c r="S3" t="str">
        <f t="shared" si="1"/>
        <v>chaotic|0002</v>
      </c>
    </row>
    <row r="4" spans="1:19" x14ac:dyDescent="0.4">
      <c r="A4" t="s">
        <v>25</v>
      </c>
      <c r="B4" t="s">
        <v>19</v>
      </c>
      <c r="C4" t="s">
        <v>30</v>
      </c>
      <c r="D4" t="s">
        <v>21</v>
      </c>
      <c r="R4">
        <f t="shared" si="0"/>
        <v>42</v>
      </c>
      <c r="S4" t="str">
        <f t="shared" si="1"/>
        <v>clueless|0001</v>
      </c>
    </row>
    <row r="5" spans="1:19" x14ac:dyDescent="0.4">
      <c r="A5" t="s">
        <v>25</v>
      </c>
      <c r="B5" t="s">
        <v>24</v>
      </c>
      <c r="C5" t="s">
        <v>31</v>
      </c>
      <c r="D5" t="s">
        <v>21</v>
      </c>
      <c r="R5">
        <f t="shared" si="0"/>
        <v>42</v>
      </c>
      <c r="S5" t="str">
        <f t="shared" si="1"/>
        <v>clueless|0002</v>
      </c>
    </row>
    <row r="6" spans="1:19" x14ac:dyDescent="0.4">
      <c r="A6" t="s">
        <v>26</v>
      </c>
      <c r="B6" t="s">
        <v>19</v>
      </c>
      <c r="C6" t="s">
        <v>32</v>
      </c>
      <c r="D6" t="s">
        <v>21</v>
      </c>
      <c r="R6">
        <f t="shared" si="0"/>
        <v>42</v>
      </c>
      <c r="S6" t="str">
        <f t="shared" si="1"/>
        <v>cooperative|0001</v>
      </c>
    </row>
    <row r="7" spans="1:19" x14ac:dyDescent="0.4">
      <c r="A7" t="s">
        <v>26</v>
      </c>
      <c r="B7" t="s">
        <v>24</v>
      </c>
      <c r="C7" t="s">
        <v>33</v>
      </c>
      <c r="D7" t="s">
        <v>21</v>
      </c>
      <c r="R7">
        <f t="shared" si="0"/>
        <v>42</v>
      </c>
      <c r="S7" t="str">
        <f t="shared" si="1"/>
        <v>cooperative|0002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4" customWidth="1"/>
    <col min="2" max="2" width="18" customWidth="1"/>
    <col min="3" max="3" width="45" customWidth="1"/>
    <col min="4" max="4" width="14" customWidth="1"/>
    <col min="5" max="17" width="8" customWidth="1"/>
    <col min="18" max="18" width="12" customWidth="1"/>
    <col min="19" max="19" width="13" hidden="1" customWidth="1"/>
  </cols>
  <sheetData>
    <row r="1" spans="1:19" x14ac:dyDescent="0.4">
      <c r="A1" s="1" t="s">
        <v>0</v>
      </c>
      <c r="B1" s="1" t="s">
        <v>1</v>
      </c>
      <c r="C1" s="1" t="s">
        <v>27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t="s">
        <v>17</v>
      </c>
    </row>
    <row r="2" spans="1:19" x14ac:dyDescent="0.4">
      <c r="A2" t="s">
        <v>18</v>
      </c>
      <c r="B2" t="s">
        <v>19</v>
      </c>
      <c r="C2" t="s">
        <v>28</v>
      </c>
      <c r="D2" t="s">
        <v>22</v>
      </c>
      <c r="R2">
        <f t="shared" ref="R2:R7" si="0">42-SUM(E2:Q2)</f>
        <v>42</v>
      </c>
      <c r="S2" t="str">
        <f t="shared" ref="S2:S7" si="1">A2&amp;"|"&amp;B2</f>
        <v>chaotic|0001</v>
      </c>
    </row>
    <row r="3" spans="1:19" x14ac:dyDescent="0.4">
      <c r="A3" t="s">
        <v>18</v>
      </c>
      <c r="B3" t="s">
        <v>24</v>
      </c>
      <c r="C3" t="s">
        <v>29</v>
      </c>
      <c r="D3" t="s">
        <v>22</v>
      </c>
      <c r="R3">
        <f t="shared" si="0"/>
        <v>42</v>
      </c>
      <c r="S3" t="str">
        <f t="shared" si="1"/>
        <v>chaotic|0002</v>
      </c>
    </row>
    <row r="4" spans="1:19" x14ac:dyDescent="0.4">
      <c r="A4" t="s">
        <v>25</v>
      </c>
      <c r="B4" t="s">
        <v>19</v>
      </c>
      <c r="C4" t="s">
        <v>30</v>
      </c>
      <c r="D4" t="s">
        <v>22</v>
      </c>
      <c r="R4">
        <f t="shared" si="0"/>
        <v>42</v>
      </c>
      <c r="S4" t="str">
        <f t="shared" si="1"/>
        <v>clueless|0001</v>
      </c>
    </row>
    <row r="5" spans="1:19" x14ac:dyDescent="0.4">
      <c r="A5" t="s">
        <v>25</v>
      </c>
      <c r="B5" t="s">
        <v>24</v>
      </c>
      <c r="C5" t="s">
        <v>31</v>
      </c>
      <c r="D5" t="s">
        <v>22</v>
      </c>
      <c r="R5">
        <f t="shared" si="0"/>
        <v>42</v>
      </c>
      <c r="S5" t="str">
        <f t="shared" si="1"/>
        <v>clueless|0002</v>
      </c>
    </row>
    <row r="6" spans="1:19" x14ac:dyDescent="0.4">
      <c r="A6" t="s">
        <v>26</v>
      </c>
      <c r="B6" t="s">
        <v>19</v>
      </c>
      <c r="C6" t="s">
        <v>32</v>
      </c>
      <c r="D6" t="s">
        <v>22</v>
      </c>
      <c r="R6">
        <f t="shared" si="0"/>
        <v>42</v>
      </c>
      <c r="S6" t="str">
        <f t="shared" si="1"/>
        <v>cooperative|0001</v>
      </c>
    </row>
    <row r="7" spans="1:19" x14ac:dyDescent="0.4">
      <c r="A7" t="s">
        <v>26</v>
      </c>
      <c r="B7" t="s">
        <v>24</v>
      </c>
      <c r="C7" t="s">
        <v>33</v>
      </c>
      <c r="D7" t="s">
        <v>22</v>
      </c>
      <c r="R7">
        <f t="shared" si="0"/>
        <v>42</v>
      </c>
      <c r="S7" t="str">
        <f t="shared" si="1"/>
        <v>cooperative|0002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compiled grading</vt:lpstr>
      <vt:lpstr>faizan grading</vt:lpstr>
      <vt:lpstr>romain grading</vt:lpstr>
      <vt:lpstr>nishita grading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Nishita Bhakar</cp:lastModifiedBy>
  <dcterms:created xsi:type="dcterms:W3CDTF">2026-04-07T21:48:45Z</dcterms:created>
  <dcterms:modified xsi:type="dcterms:W3CDTF">2026-04-07T21:49:50Z</dcterms:modified>
</cp:coreProperties>
</file>